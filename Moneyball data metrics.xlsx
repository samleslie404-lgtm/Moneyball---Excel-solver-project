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leslie/Documents/Humber BIA 2025/Sem3_F25/Marketing Metrics/"/>
    </mc:Choice>
  </mc:AlternateContent>
  <xr:revisionPtr revIDLastSave="0" documentId="13_ncr:1_{BD4DC0BC-0084-B340-98C5-2DDDDEDB418F}" xr6:coauthVersionLast="47" xr6:coauthVersionMax="47" xr10:uidLastSave="{00000000-0000-0000-0000-000000000000}"/>
  <bookViews>
    <workbookView xWindow="0" yWindow="760" windowWidth="30240" windowHeight="17820" activeTab="1" xr2:uid="{00000000-000D-0000-FFFF-FFFF00000000}"/>
  </bookViews>
  <sheets>
    <sheet name="Player data - best team &lt; 2mil" sheetId="8" r:id="rId1"/>
    <sheet name="Player data_latest Sim plex" sheetId="4" r:id="rId2"/>
    <sheet name="Player data_latest GRG" sheetId="5" r:id="rId3"/>
    <sheet name="Team Summary - GRG" sheetId="7" r:id="rId4"/>
    <sheet name="Team Summary - SAL&lt;=2mil" sheetId="9" r:id="rId5"/>
    <sheet name="Team Summary - Simplex" sheetId="6" r:id="rId6"/>
    <sheet name="Ranking salary by position" sheetId="2" r:id="rId7"/>
  </sheets>
  <definedNames>
    <definedName name="solver_adj" localSheetId="0" hidden="1">'Player data - best team &lt; 2mil'!$V$2:$V$141</definedName>
    <definedName name="solver_adj" localSheetId="2" hidden="1">'Player data_latest GRG'!$V$2:$V$141</definedName>
    <definedName name="solver_adj" localSheetId="1" hidden="1">'Player data_latest Sim plex'!$V$2:$V$141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0" hidden="1">2</definedName>
    <definedName name="solver_eng" localSheetId="2" hidden="1">1</definedName>
    <definedName name="solver_eng" localSheetId="1" hidden="1">2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0" hidden="1">'Player data - best team &lt; 2mil'!$AA$3</definedName>
    <definedName name="solver_lhs1" localSheetId="2" hidden="1">'Player data_latest GRG'!$AA$3</definedName>
    <definedName name="solver_lhs1" localSheetId="1" hidden="1">'Player data_latest Sim plex'!$AA$3</definedName>
    <definedName name="solver_lhs10" localSheetId="0" hidden="1">'Player data - best team &lt; 2mil'!$Y$16</definedName>
    <definedName name="solver_lhs10" localSheetId="2" hidden="1">'Player data_latest GRG'!$Y$3</definedName>
    <definedName name="solver_lhs10" localSheetId="1" hidden="1">'Player data_latest Sim plex'!$Y$11</definedName>
    <definedName name="solver_lhs11" localSheetId="0" hidden="1">'Player data - best team &lt; 2mil'!$Y$3</definedName>
    <definedName name="solver_lhs11" localSheetId="2" hidden="1">'Player data_latest GRG'!$Y$4</definedName>
    <definedName name="solver_lhs11" localSheetId="1" hidden="1">'Player data_latest Sim plex'!$Y$3</definedName>
    <definedName name="solver_lhs12" localSheetId="0" hidden="1">'Player data - best team &lt; 2mil'!$Y$7</definedName>
    <definedName name="solver_lhs12" localSheetId="2" hidden="1">'Player data_latest GRG'!$Y$7</definedName>
    <definedName name="solver_lhs12" localSheetId="1" hidden="1">'Player data_latest Sim plex'!$Y$4</definedName>
    <definedName name="solver_lhs13" localSheetId="0" hidden="1">'Player data - best team &lt; 2mil'!$Y$7</definedName>
    <definedName name="solver_lhs13" localSheetId="2" hidden="1">'Player data_latest GRG'!$Y$7</definedName>
    <definedName name="solver_lhs13" localSheetId="1" hidden="1">'Player data_latest Sim plex'!$Y$7</definedName>
    <definedName name="solver_lhs2" localSheetId="0" hidden="1">'Player data - best team &lt; 2mil'!$AB$3</definedName>
    <definedName name="solver_lhs2" localSheetId="2" hidden="1">'Player data_latest GRG'!$AB$3</definedName>
    <definedName name="solver_lhs2" localSheetId="1" hidden="1">'Player data_latest Sim plex'!$AB$3</definedName>
    <definedName name="solver_lhs3" localSheetId="0" hidden="1">'Player data - best team &lt; 2mil'!$AC$3</definedName>
    <definedName name="solver_lhs3" localSheetId="2" hidden="1">'Player data_latest GRG'!$AC$3</definedName>
    <definedName name="solver_lhs3" localSheetId="1" hidden="1">'Player data_latest Sim plex'!$AC$3</definedName>
    <definedName name="solver_lhs4" localSheetId="0" hidden="1">'Player data - best team &lt; 2mil'!$AD$3</definedName>
    <definedName name="solver_lhs4" localSheetId="2" hidden="1">'Player data_latest GRG'!$AD$3</definedName>
    <definedName name="solver_lhs4" localSheetId="1" hidden="1">'Player data_latest Sim plex'!$AD$3</definedName>
    <definedName name="solver_lhs5" localSheetId="0" hidden="1">'Player data - best team &lt; 2mil'!$AE$3</definedName>
    <definedName name="solver_lhs5" localSheetId="2" hidden="1">'Player data_latest GRG'!$AE$3</definedName>
    <definedName name="solver_lhs5" localSheetId="1" hidden="1">'Player data_latest Sim plex'!$AE$3</definedName>
    <definedName name="solver_lhs6" localSheetId="0" hidden="1">'Player data - best team &lt; 2mil'!$AF$3</definedName>
    <definedName name="solver_lhs6" localSheetId="2" hidden="1">'Player data_latest GRG'!$AF$3</definedName>
    <definedName name="solver_lhs6" localSheetId="1" hidden="1">'Player data_latest Sim plex'!$AF$3</definedName>
    <definedName name="solver_lhs7" localSheetId="0" hidden="1">'Player data - best team &lt; 2mil'!$AH$3</definedName>
    <definedName name="solver_lhs7" localSheetId="2" hidden="1">'Player data_latest GRG'!$AH$3</definedName>
    <definedName name="solver_lhs7" localSheetId="1" hidden="1">'Player data_latest Sim plex'!$AH$3</definedName>
    <definedName name="solver_lhs8" localSheetId="0" hidden="1">'Player data - best team &lt; 2mil'!$AI$3</definedName>
    <definedName name="solver_lhs8" localSheetId="2" hidden="1">'Player data_latest GRG'!$AI$3</definedName>
    <definedName name="solver_lhs8" localSheetId="1" hidden="1">'Player data_latest Sim plex'!$AI$3</definedName>
    <definedName name="solver_lhs9" localSheetId="0" hidden="1">'Player data - best team &lt; 2mil'!$V$2:$V$141</definedName>
    <definedName name="solver_lhs9" localSheetId="2" hidden="1">'Player data_latest GRG'!$V$2:$V$141</definedName>
    <definedName name="solver_lhs9" localSheetId="1" hidden="1">'Player data_latest Sim plex'!$V$2:$V$141</definedName>
    <definedName name="solver_lin" localSheetId="0" hidden="1">1</definedName>
    <definedName name="solver_lin" localSheetId="2" hidden="1">2</definedName>
    <definedName name="solver_lin" localSheetId="1" hidden="1">1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11</definedName>
    <definedName name="solver_num" localSheetId="2" hidden="1">12</definedName>
    <definedName name="solver_num" localSheetId="1" hidden="1">13</definedName>
    <definedName name="solver_opt" localSheetId="0" hidden="1">'Player data - best team &lt; 2mil'!$Y$8</definedName>
    <definedName name="solver_opt" localSheetId="2" hidden="1">'Player data_latest GRG'!$Y$8</definedName>
    <definedName name="solver_opt" localSheetId="1" hidden="1">'Player data_latest Sim plex'!$Y$8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2</definedName>
    <definedName name="solver_rbv" localSheetId="2" hidden="1">2</definedName>
    <definedName name="solver_rbv" localSheetId="1" hidden="1">2</definedName>
    <definedName name="solver_rel1" localSheetId="0" hidden="1">3</definedName>
    <definedName name="solver_rel1" localSheetId="2" hidden="1">3</definedName>
    <definedName name="solver_rel1" localSheetId="1" hidden="1">3</definedName>
    <definedName name="solver_rel10" localSheetId="0" hidden="1">2</definedName>
    <definedName name="solver_rel10" localSheetId="2" hidden="1">2</definedName>
    <definedName name="solver_rel10" localSheetId="1" hidden="1">3</definedName>
    <definedName name="solver_rel11" localSheetId="0" hidden="1">2</definedName>
    <definedName name="solver_rel11" localSheetId="2" hidden="1">3</definedName>
    <definedName name="solver_rel11" localSheetId="1" hidden="1">2</definedName>
    <definedName name="solver_rel12" localSheetId="0" hidden="1">1</definedName>
    <definedName name="solver_rel12" localSheetId="2" hidden="1">1</definedName>
    <definedName name="solver_rel12" localSheetId="1" hidden="1">3</definedName>
    <definedName name="solver_rel13" localSheetId="0" hidden="1">1</definedName>
    <definedName name="solver_rel13" localSheetId="2" hidden="1">1</definedName>
    <definedName name="solver_rel13" localSheetId="1" hidden="1">1</definedName>
    <definedName name="solver_rel2" localSheetId="0" hidden="1">3</definedName>
    <definedName name="solver_rel2" localSheetId="2" hidden="1">3</definedName>
    <definedName name="solver_rel2" localSheetId="1" hidden="1">3</definedName>
    <definedName name="solver_rel3" localSheetId="0" hidden="1">3</definedName>
    <definedName name="solver_rel3" localSheetId="2" hidden="1">3</definedName>
    <definedName name="solver_rel3" localSheetId="1" hidden="1">3</definedName>
    <definedName name="solver_rel4" localSheetId="0" hidden="1">3</definedName>
    <definedName name="solver_rel4" localSheetId="2" hidden="1">3</definedName>
    <definedName name="solver_rel4" localSheetId="1" hidden="1">3</definedName>
    <definedName name="solver_rel5" localSheetId="0" hidden="1">3</definedName>
    <definedName name="solver_rel5" localSheetId="2" hidden="1">3</definedName>
    <definedName name="solver_rel5" localSheetId="1" hidden="1">3</definedName>
    <definedName name="solver_rel6" localSheetId="0" hidden="1">3</definedName>
    <definedName name="solver_rel6" localSheetId="2" hidden="1">3</definedName>
    <definedName name="solver_rel6" localSheetId="1" hidden="1">3</definedName>
    <definedName name="solver_rel7" localSheetId="0" hidden="1">3</definedName>
    <definedName name="solver_rel7" localSheetId="2" hidden="1">3</definedName>
    <definedName name="solver_rel7" localSheetId="1" hidden="1">3</definedName>
    <definedName name="solver_rel8" localSheetId="0" hidden="1">3</definedName>
    <definedName name="solver_rel8" localSheetId="2" hidden="1">3</definedName>
    <definedName name="solver_rel8" localSheetId="1" hidden="1">3</definedName>
    <definedName name="solver_rel9" localSheetId="0" hidden="1">5</definedName>
    <definedName name="solver_rel9" localSheetId="2" hidden="1">5</definedName>
    <definedName name="solver_rel9" localSheetId="1" hidden="1">5</definedName>
    <definedName name="solver_rhs1" localSheetId="0" hidden="1">4</definedName>
    <definedName name="solver_rhs1" localSheetId="2" hidden="1">4</definedName>
    <definedName name="solver_rhs1" localSheetId="1" hidden="1">4</definedName>
    <definedName name="solver_rhs10" localSheetId="0" hidden="1">0</definedName>
    <definedName name="solver_rhs10" localSheetId="2" hidden="1">15</definedName>
    <definedName name="solver_rhs10" localSheetId="1" hidden="1">3</definedName>
    <definedName name="solver_rhs11" localSheetId="0" hidden="1">15</definedName>
    <definedName name="solver_rhs11" localSheetId="2" hidden="1">3</definedName>
    <definedName name="solver_rhs11" localSheetId="1" hidden="1">15</definedName>
    <definedName name="solver_rhs12" localSheetId="0" hidden="1">220000000</definedName>
    <definedName name="solver_rhs12" localSheetId="2" hidden="1">220000000</definedName>
    <definedName name="solver_rhs12" localSheetId="1" hidden="1">3</definedName>
    <definedName name="solver_rhs13" localSheetId="0" hidden="1">220000000</definedName>
    <definedName name="solver_rhs13" localSheetId="2" hidden="1">220000000</definedName>
    <definedName name="solver_rhs13" localSheetId="1" hidden="1">220000000</definedName>
    <definedName name="solver_rhs2" localSheetId="0" hidden="1">2</definedName>
    <definedName name="solver_rhs2" localSheetId="2" hidden="1">2</definedName>
    <definedName name="solver_rhs2" localSheetId="1" hidden="1">2</definedName>
    <definedName name="solver_rhs3" localSheetId="0" hidden="1">1</definedName>
    <definedName name="solver_rhs3" localSheetId="2" hidden="1">1</definedName>
    <definedName name="solver_rhs3" localSheetId="1" hidden="1">1</definedName>
    <definedName name="solver_rhs4" localSheetId="0" hidden="1">1</definedName>
    <definedName name="solver_rhs4" localSheetId="2" hidden="1">1</definedName>
    <definedName name="solver_rhs4" localSheetId="1" hidden="1">1</definedName>
    <definedName name="solver_rhs5" localSheetId="0" hidden="1">1</definedName>
    <definedName name="solver_rhs5" localSheetId="2" hidden="1">1</definedName>
    <definedName name="solver_rhs5" localSheetId="1" hidden="1">1</definedName>
    <definedName name="solver_rhs6" localSheetId="0" hidden="1">1</definedName>
    <definedName name="solver_rhs6" localSheetId="2" hidden="1">1</definedName>
    <definedName name="solver_rhs6" localSheetId="1" hidden="1">1</definedName>
    <definedName name="solver_rhs7" localSheetId="0" hidden="1">3</definedName>
    <definedName name="solver_rhs7" localSheetId="2" hidden="1">3</definedName>
    <definedName name="solver_rhs7" localSheetId="1" hidden="1">3</definedName>
    <definedName name="solver_rhs8" localSheetId="0" hidden="1">3</definedName>
    <definedName name="solver_rhs8" localSheetId="2" hidden="1">3</definedName>
    <definedName name="solver_rhs8" localSheetId="1" hidden="1">3</definedName>
    <definedName name="solver_rhs9" localSheetId="0" hidden="1">"binary"</definedName>
    <definedName name="solver_rhs9" localSheetId="2" hidden="1">"binary"</definedName>
    <definedName name="solver_rhs9" localSheetId="1" hidden="1">"binary"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2</definedName>
    <definedName name="solver_scl" localSheetId="2" hidden="1">2</definedName>
    <definedName name="solver_scl" localSheetId="1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2</definedName>
    <definedName name="solver_ver" localSheetId="2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 a="1"/>
  <c r="B2" i="9" s="1"/>
  <c r="G24" i="9"/>
  <c r="G21" i="9"/>
  <c r="G18" i="9"/>
  <c r="D23" i="9"/>
  <c r="D18" i="9"/>
  <c r="Y3" i="4"/>
  <c r="Y16" i="8"/>
  <c r="R141" i="8"/>
  <c r="Q141" i="8"/>
  <c r="P141" i="8"/>
  <c r="O141" i="8"/>
  <c r="N141" i="8"/>
  <c r="M141" i="8"/>
  <c r="L141" i="8"/>
  <c r="K141" i="8"/>
  <c r="J141" i="8"/>
  <c r="H141" i="8"/>
  <c r="R140" i="8"/>
  <c r="Q140" i="8"/>
  <c r="P140" i="8"/>
  <c r="O140" i="8"/>
  <c r="N140" i="8"/>
  <c r="M140" i="8"/>
  <c r="L140" i="8"/>
  <c r="K140" i="8"/>
  <c r="J140" i="8"/>
  <c r="H140" i="8"/>
  <c r="R139" i="8"/>
  <c r="Q139" i="8"/>
  <c r="P139" i="8"/>
  <c r="O139" i="8"/>
  <c r="N139" i="8"/>
  <c r="M139" i="8"/>
  <c r="L139" i="8"/>
  <c r="K139" i="8"/>
  <c r="J139" i="8"/>
  <c r="H139" i="8"/>
  <c r="R138" i="8"/>
  <c r="Q138" i="8"/>
  <c r="P138" i="8"/>
  <c r="O138" i="8"/>
  <c r="N138" i="8"/>
  <c r="M138" i="8"/>
  <c r="L138" i="8"/>
  <c r="K138" i="8"/>
  <c r="J138" i="8"/>
  <c r="H138" i="8"/>
  <c r="R137" i="8"/>
  <c r="Q137" i="8"/>
  <c r="P137" i="8"/>
  <c r="O137" i="8"/>
  <c r="N137" i="8"/>
  <c r="M137" i="8"/>
  <c r="L137" i="8"/>
  <c r="K137" i="8"/>
  <c r="J137" i="8"/>
  <c r="H137" i="8"/>
  <c r="R136" i="8"/>
  <c r="Q136" i="8"/>
  <c r="P136" i="8"/>
  <c r="O136" i="8"/>
  <c r="N136" i="8"/>
  <c r="M136" i="8"/>
  <c r="L136" i="8"/>
  <c r="K136" i="8"/>
  <c r="J136" i="8"/>
  <c r="H136" i="8"/>
  <c r="R135" i="8"/>
  <c r="Q135" i="8"/>
  <c r="P135" i="8"/>
  <c r="O135" i="8"/>
  <c r="N135" i="8"/>
  <c r="M135" i="8"/>
  <c r="L135" i="8"/>
  <c r="K135" i="8"/>
  <c r="J135" i="8"/>
  <c r="H135" i="8"/>
  <c r="R134" i="8"/>
  <c r="Q134" i="8"/>
  <c r="P134" i="8"/>
  <c r="O134" i="8"/>
  <c r="N134" i="8"/>
  <c r="M134" i="8"/>
  <c r="L134" i="8"/>
  <c r="K134" i="8"/>
  <c r="J134" i="8"/>
  <c r="H134" i="8"/>
  <c r="R133" i="8"/>
  <c r="Q133" i="8"/>
  <c r="P133" i="8"/>
  <c r="O133" i="8"/>
  <c r="N133" i="8"/>
  <c r="M133" i="8"/>
  <c r="L133" i="8"/>
  <c r="K133" i="8"/>
  <c r="J133" i="8"/>
  <c r="H133" i="8"/>
  <c r="R132" i="8"/>
  <c r="Q132" i="8"/>
  <c r="P132" i="8"/>
  <c r="O132" i="8"/>
  <c r="N132" i="8"/>
  <c r="M132" i="8"/>
  <c r="L132" i="8"/>
  <c r="K132" i="8"/>
  <c r="J132" i="8"/>
  <c r="H132" i="8"/>
  <c r="R131" i="8"/>
  <c r="Q131" i="8"/>
  <c r="P131" i="8"/>
  <c r="O131" i="8"/>
  <c r="N131" i="8"/>
  <c r="M131" i="8"/>
  <c r="L131" i="8"/>
  <c r="K131" i="8"/>
  <c r="J131" i="8"/>
  <c r="H131" i="8"/>
  <c r="R130" i="8"/>
  <c r="Q130" i="8"/>
  <c r="P130" i="8"/>
  <c r="O130" i="8"/>
  <c r="N130" i="8"/>
  <c r="M130" i="8"/>
  <c r="L130" i="8"/>
  <c r="K130" i="8"/>
  <c r="J130" i="8"/>
  <c r="H130" i="8"/>
  <c r="R129" i="8"/>
  <c r="Q129" i="8"/>
  <c r="P129" i="8"/>
  <c r="O129" i="8"/>
  <c r="N129" i="8"/>
  <c r="M129" i="8"/>
  <c r="L129" i="8"/>
  <c r="K129" i="8"/>
  <c r="J129" i="8"/>
  <c r="H129" i="8"/>
  <c r="R128" i="8"/>
  <c r="Q128" i="8"/>
  <c r="P128" i="8"/>
  <c r="O128" i="8"/>
  <c r="N128" i="8"/>
  <c r="M128" i="8"/>
  <c r="L128" i="8"/>
  <c r="K128" i="8"/>
  <c r="J128" i="8"/>
  <c r="H128" i="8"/>
  <c r="R127" i="8"/>
  <c r="Q127" i="8"/>
  <c r="P127" i="8"/>
  <c r="O127" i="8"/>
  <c r="N127" i="8"/>
  <c r="M127" i="8"/>
  <c r="L127" i="8"/>
  <c r="K127" i="8"/>
  <c r="J127" i="8"/>
  <c r="H127" i="8"/>
  <c r="R126" i="8"/>
  <c r="Q126" i="8"/>
  <c r="P126" i="8"/>
  <c r="O126" i="8"/>
  <c r="N126" i="8"/>
  <c r="M126" i="8"/>
  <c r="L126" i="8"/>
  <c r="K126" i="8"/>
  <c r="J126" i="8"/>
  <c r="H126" i="8"/>
  <c r="R125" i="8"/>
  <c r="Q125" i="8"/>
  <c r="P125" i="8"/>
  <c r="O125" i="8"/>
  <c r="N125" i="8"/>
  <c r="M125" i="8"/>
  <c r="L125" i="8"/>
  <c r="K125" i="8"/>
  <c r="J125" i="8"/>
  <c r="H125" i="8"/>
  <c r="R124" i="8"/>
  <c r="Q124" i="8"/>
  <c r="P124" i="8"/>
  <c r="O124" i="8"/>
  <c r="N124" i="8"/>
  <c r="M124" i="8"/>
  <c r="L124" i="8"/>
  <c r="K124" i="8"/>
  <c r="J124" i="8"/>
  <c r="H124" i="8"/>
  <c r="R123" i="8"/>
  <c r="Q123" i="8"/>
  <c r="P123" i="8"/>
  <c r="O123" i="8"/>
  <c r="N123" i="8"/>
  <c r="M123" i="8"/>
  <c r="L123" i="8"/>
  <c r="K123" i="8"/>
  <c r="J123" i="8"/>
  <c r="H123" i="8"/>
  <c r="R122" i="8"/>
  <c r="Q122" i="8"/>
  <c r="P122" i="8"/>
  <c r="O122" i="8"/>
  <c r="N122" i="8"/>
  <c r="M122" i="8"/>
  <c r="L122" i="8"/>
  <c r="K122" i="8"/>
  <c r="J122" i="8"/>
  <c r="H122" i="8"/>
  <c r="R121" i="8"/>
  <c r="Q121" i="8"/>
  <c r="P121" i="8"/>
  <c r="O121" i="8"/>
  <c r="N121" i="8"/>
  <c r="M121" i="8"/>
  <c r="L121" i="8"/>
  <c r="K121" i="8"/>
  <c r="J121" i="8"/>
  <c r="H121" i="8"/>
  <c r="R120" i="8"/>
  <c r="Q120" i="8"/>
  <c r="P120" i="8"/>
  <c r="O120" i="8"/>
  <c r="N120" i="8"/>
  <c r="M120" i="8"/>
  <c r="L120" i="8"/>
  <c r="K120" i="8"/>
  <c r="J120" i="8"/>
  <c r="H120" i="8"/>
  <c r="R119" i="8"/>
  <c r="Q119" i="8"/>
  <c r="P119" i="8"/>
  <c r="O119" i="8"/>
  <c r="N119" i="8"/>
  <c r="M119" i="8"/>
  <c r="L119" i="8"/>
  <c r="K119" i="8"/>
  <c r="J119" i="8"/>
  <c r="H119" i="8"/>
  <c r="R118" i="8"/>
  <c r="Q118" i="8"/>
  <c r="P118" i="8"/>
  <c r="O118" i="8"/>
  <c r="N118" i="8"/>
  <c r="M118" i="8"/>
  <c r="L118" i="8"/>
  <c r="K118" i="8"/>
  <c r="J118" i="8"/>
  <c r="H118" i="8"/>
  <c r="R117" i="8"/>
  <c r="Q117" i="8"/>
  <c r="P117" i="8"/>
  <c r="O117" i="8"/>
  <c r="N117" i="8"/>
  <c r="M117" i="8"/>
  <c r="L117" i="8"/>
  <c r="K117" i="8"/>
  <c r="J117" i="8"/>
  <c r="H117" i="8"/>
  <c r="R116" i="8"/>
  <c r="Q116" i="8"/>
  <c r="P116" i="8"/>
  <c r="O116" i="8"/>
  <c r="N116" i="8"/>
  <c r="M116" i="8"/>
  <c r="L116" i="8"/>
  <c r="K116" i="8"/>
  <c r="J116" i="8"/>
  <c r="H116" i="8"/>
  <c r="R115" i="8"/>
  <c r="Q115" i="8"/>
  <c r="P115" i="8"/>
  <c r="O115" i="8"/>
  <c r="N115" i="8"/>
  <c r="M115" i="8"/>
  <c r="L115" i="8"/>
  <c r="K115" i="8"/>
  <c r="J115" i="8"/>
  <c r="H115" i="8"/>
  <c r="R114" i="8"/>
  <c r="Q114" i="8"/>
  <c r="P114" i="8"/>
  <c r="O114" i="8"/>
  <c r="N114" i="8"/>
  <c r="M114" i="8"/>
  <c r="L114" i="8"/>
  <c r="K114" i="8"/>
  <c r="J114" i="8"/>
  <c r="H114" i="8"/>
  <c r="R113" i="8"/>
  <c r="Q113" i="8"/>
  <c r="P113" i="8"/>
  <c r="O113" i="8"/>
  <c r="N113" i="8"/>
  <c r="M113" i="8"/>
  <c r="L113" i="8"/>
  <c r="K113" i="8"/>
  <c r="J113" i="8"/>
  <c r="H113" i="8"/>
  <c r="R112" i="8"/>
  <c r="Q112" i="8"/>
  <c r="P112" i="8"/>
  <c r="O112" i="8"/>
  <c r="N112" i="8"/>
  <c r="M112" i="8"/>
  <c r="L112" i="8"/>
  <c r="K112" i="8"/>
  <c r="J112" i="8"/>
  <c r="H112" i="8"/>
  <c r="R111" i="8"/>
  <c r="Q111" i="8"/>
  <c r="P111" i="8"/>
  <c r="O111" i="8"/>
  <c r="N111" i="8"/>
  <c r="M111" i="8"/>
  <c r="L111" i="8"/>
  <c r="K111" i="8"/>
  <c r="J111" i="8"/>
  <c r="H111" i="8"/>
  <c r="R110" i="8"/>
  <c r="Q110" i="8"/>
  <c r="P110" i="8"/>
  <c r="O110" i="8"/>
  <c r="N110" i="8"/>
  <c r="M110" i="8"/>
  <c r="L110" i="8"/>
  <c r="K110" i="8"/>
  <c r="J110" i="8"/>
  <c r="H110" i="8"/>
  <c r="R109" i="8"/>
  <c r="Q109" i="8"/>
  <c r="P109" i="8"/>
  <c r="O109" i="8"/>
  <c r="N109" i="8"/>
  <c r="M109" i="8"/>
  <c r="L109" i="8"/>
  <c r="K109" i="8"/>
  <c r="J109" i="8"/>
  <c r="H109" i="8"/>
  <c r="R108" i="8"/>
  <c r="Q108" i="8"/>
  <c r="P108" i="8"/>
  <c r="O108" i="8"/>
  <c r="N108" i="8"/>
  <c r="M108" i="8"/>
  <c r="L108" i="8"/>
  <c r="K108" i="8"/>
  <c r="J108" i="8"/>
  <c r="H108" i="8"/>
  <c r="R107" i="8"/>
  <c r="Q107" i="8"/>
  <c r="P107" i="8"/>
  <c r="O107" i="8"/>
  <c r="N107" i="8"/>
  <c r="M107" i="8"/>
  <c r="L107" i="8"/>
  <c r="K107" i="8"/>
  <c r="J107" i="8"/>
  <c r="H107" i="8"/>
  <c r="R106" i="8"/>
  <c r="Q106" i="8"/>
  <c r="P106" i="8"/>
  <c r="O106" i="8"/>
  <c r="N106" i="8"/>
  <c r="M106" i="8"/>
  <c r="L106" i="8"/>
  <c r="K106" i="8"/>
  <c r="J106" i="8"/>
  <c r="H106" i="8"/>
  <c r="R105" i="8"/>
  <c r="Q105" i="8"/>
  <c r="P105" i="8"/>
  <c r="O105" i="8"/>
  <c r="N105" i="8"/>
  <c r="M105" i="8"/>
  <c r="L105" i="8"/>
  <c r="K105" i="8"/>
  <c r="J105" i="8"/>
  <c r="H105" i="8"/>
  <c r="R104" i="8"/>
  <c r="Q104" i="8"/>
  <c r="P104" i="8"/>
  <c r="O104" i="8"/>
  <c r="N104" i="8"/>
  <c r="M104" i="8"/>
  <c r="L104" i="8"/>
  <c r="K104" i="8"/>
  <c r="J104" i="8"/>
  <c r="H104" i="8"/>
  <c r="R103" i="8"/>
  <c r="Q103" i="8"/>
  <c r="P103" i="8"/>
  <c r="O103" i="8"/>
  <c r="N103" i="8"/>
  <c r="M103" i="8"/>
  <c r="L103" i="8"/>
  <c r="K103" i="8"/>
  <c r="J103" i="8"/>
  <c r="H103" i="8"/>
  <c r="R102" i="8"/>
  <c r="Q102" i="8"/>
  <c r="P102" i="8"/>
  <c r="O102" i="8"/>
  <c r="N102" i="8"/>
  <c r="M102" i="8"/>
  <c r="L102" i="8"/>
  <c r="K102" i="8"/>
  <c r="J102" i="8"/>
  <c r="H102" i="8"/>
  <c r="R101" i="8"/>
  <c r="Q101" i="8"/>
  <c r="P101" i="8"/>
  <c r="O101" i="8"/>
  <c r="N101" i="8"/>
  <c r="M101" i="8"/>
  <c r="L101" i="8"/>
  <c r="K101" i="8"/>
  <c r="J101" i="8"/>
  <c r="H101" i="8"/>
  <c r="R100" i="8"/>
  <c r="Q100" i="8"/>
  <c r="P100" i="8"/>
  <c r="O100" i="8"/>
  <c r="N100" i="8"/>
  <c r="M100" i="8"/>
  <c r="L100" i="8"/>
  <c r="K100" i="8"/>
  <c r="J100" i="8"/>
  <c r="H100" i="8"/>
  <c r="R99" i="8"/>
  <c r="Q99" i="8"/>
  <c r="P99" i="8"/>
  <c r="O99" i="8"/>
  <c r="N99" i="8"/>
  <c r="M99" i="8"/>
  <c r="L99" i="8"/>
  <c r="K99" i="8"/>
  <c r="J99" i="8"/>
  <c r="H99" i="8"/>
  <c r="R98" i="8"/>
  <c r="Q98" i="8"/>
  <c r="P98" i="8"/>
  <c r="O98" i="8"/>
  <c r="N98" i="8"/>
  <c r="M98" i="8"/>
  <c r="L98" i="8"/>
  <c r="K98" i="8"/>
  <c r="J98" i="8"/>
  <c r="H98" i="8"/>
  <c r="R97" i="8"/>
  <c r="Q97" i="8"/>
  <c r="P97" i="8"/>
  <c r="O97" i="8"/>
  <c r="N97" i="8"/>
  <c r="M97" i="8"/>
  <c r="L97" i="8"/>
  <c r="K97" i="8"/>
  <c r="J97" i="8"/>
  <c r="H97" i="8"/>
  <c r="R96" i="8"/>
  <c r="Q96" i="8"/>
  <c r="P96" i="8"/>
  <c r="O96" i="8"/>
  <c r="N96" i="8"/>
  <c r="M96" i="8"/>
  <c r="L96" i="8"/>
  <c r="K96" i="8"/>
  <c r="J96" i="8"/>
  <c r="H96" i="8"/>
  <c r="R95" i="8"/>
  <c r="Q95" i="8"/>
  <c r="P95" i="8"/>
  <c r="O95" i="8"/>
  <c r="N95" i="8"/>
  <c r="M95" i="8"/>
  <c r="L95" i="8"/>
  <c r="K95" i="8"/>
  <c r="J95" i="8"/>
  <c r="H95" i="8"/>
  <c r="R94" i="8"/>
  <c r="Q94" i="8"/>
  <c r="P94" i="8"/>
  <c r="O94" i="8"/>
  <c r="N94" i="8"/>
  <c r="M94" i="8"/>
  <c r="L94" i="8"/>
  <c r="K94" i="8"/>
  <c r="J94" i="8"/>
  <c r="H94" i="8"/>
  <c r="R93" i="8"/>
  <c r="Q93" i="8"/>
  <c r="P93" i="8"/>
  <c r="O93" i="8"/>
  <c r="N93" i="8"/>
  <c r="M93" i="8"/>
  <c r="L93" i="8"/>
  <c r="K93" i="8"/>
  <c r="J93" i="8"/>
  <c r="H93" i="8"/>
  <c r="R92" i="8"/>
  <c r="Q92" i="8"/>
  <c r="P92" i="8"/>
  <c r="O92" i="8"/>
  <c r="N92" i="8"/>
  <c r="M92" i="8"/>
  <c r="L92" i="8"/>
  <c r="K92" i="8"/>
  <c r="J92" i="8"/>
  <c r="H92" i="8"/>
  <c r="R91" i="8"/>
  <c r="Q91" i="8"/>
  <c r="P91" i="8"/>
  <c r="O91" i="8"/>
  <c r="N91" i="8"/>
  <c r="M91" i="8"/>
  <c r="L91" i="8"/>
  <c r="K91" i="8"/>
  <c r="J91" i="8"/>
  <c r="H91" i="8"/>
  <c r="R90" i="8"/>
  <c r="Q90" i="8"/>
  <c r="P90" i="8"/>
  <c r="O90" i="8"/>
  <c r="N90" i="8"/>
  <c r="M90" i="8"/>
  <c r="L90" i="8"/>
  <c r="K90" i="8"/>
  <c r="J90" i="8"/>
  <c r="H90" i="8"/>
  <c r="R89" i="8"/>
  <c r="Q89" i="8"/>
  <c r="P89" i="8"/>
  <c r="O89" i="8"/>
  <c r="N89" i="8"/>
  <c r="M89" i="8"/>
  <c r="L89" i="8"/>
  <c r="K89" i="8"/>
  <c r="J89" i="8"/>
  <c r="H89" i="8"/>
  <c r="R88" i="8"/>
  <c r="Q88" i="8"/>
  <c r="P88" i="8"/>
  <c r="O88" i="8"/>
  <c r="N88" i="8"/>
  <c r="M88" i="8"/>
  <c r="L88" i="8"/>
  <c r="K88" i="8"/>
  <c r="J88" i="8"/>
  <c r="H88" i="8"/>
  <c r="R87" i="8"/>
  <c r="Q87" i="8"/>
  <c r="P87" i="8"/>
  <c r="O87" i="8"/>
  <c r="N87" i="8"/>
  <c r="M87" i="8"/>
  <c r="L87" i="8"/>
  <c r="K87" i="8"/>
  <c r="J87" i="8"/>
  <c r="H87" i="8"/>
  <c r="R86" i="8"/>
  <c r="Q86" i="8"/>
  <c r="P86" i="8"/>
  <c r="O86" i="8"/>
  <c r="N86" i="8"/>
  <c r="M86" i="8"/>
  <c r="L86" i="8"/>
  <c r="K86" i="8"/>
  <c r="J86" i="8"/>
  <c r="H86" i="8"/>
  <c r="R85" i="8"/>
  <c r="Q85" i="8"/>
  <c r="P85" i="8"/>
  <c r="O85" i="8"/>
  <c r="N85" i="8"/>
  <c r="M85" i="8"/>
  <c r="L85" i="8"/>
  <c r="K85" i="8"/>
  <c r="J85" i="8"/>
  <c r="H85" i="8"/>
  <c r="R84" i="8"/>
  <c r="Q84" i="8"/>
  <c r="P84" i="8"/>
  <c r="O84" i="8"/>
  <c r="N84" i="8"/>
  <c r="M84" i="8"/>
  <c r="L84" i="8"/>
  <c r="K84" i="8"/>
  <c r="J84" i="8"/>
  <c r="H84" i="8"/>
  <c r="R83" i="8"/>
  <c r="Q83" i="8"/>
  <c r="P83" i="8"/>
  <c r="O83" i="8"/>
  <c r="N83" i="8"/>
  <c r="M83" i="8"/>
  <c r="L83" i="8"/>
  <c r="K83" i="8"/>
  <c r="J83" i="8"/>
  <c r="H83" i="8"/>
  <c r="R82" i="8"/>
  <c r="Q82" i="8"/>
  <c r="P82" i="8"/>
  <c r="O82" i="8"/>
  <c r="N82" i="8"/>
  <c r="M82" i="8"/>
  <c r="L82" i="8"/>
  <c r="K82" i="8"/>
  <c r="J82" i="8"/>
  <c r="H82" i="8"/>
  <c r="R81" i="8"/>
  <c r="Q81" i="8"/>
  <c r="P81" i="8"/>
  <c r="O81" i="8"/>
  <c r="N81" i="8"/>
  <c r="M81" i="8"/>
  <c r="L81" i="8"/>
  <c r="K81" i="8"/>
  <c r="J81" i="8"/>
  <c r="H81" i="8"/>
  <c r="R80" i="8"/>
  <c r="Q80" i="8"/>
  <c r="P80" i="8"/>
  <c r="O80" i="8"/>
  <c r="N80" i="8"/>
  <c r="M80" i="8"/>
  <c r="L80" i="8"/>
  <c r="K80" i="8"/>
  <c r="J80" i="8"/>
  <c r="H80" i="8"/>
  <c r="R79" i="8"/>
  <c r="Q79" i="8"/>
  <c r="P79" i="8"/>
  <c r="O79" i="8"/>
  <c r="N79" i="8"/>
  <c r="M79" i="8"/>
  <c r="L79" i="8"/>
  <c r="K79" i="8"/>
  <c r="J79" i="8"/>
  <c r="H79" i="8"/>
  <c r="R78" i="8"/>
  <c r="Q78" i="8"/>
  <c r="P78" i="8"/>
  <c r="O78" i="8"/>
  <c r="N78" i="8"/>
  <c r="M78" i="8"/>
  <c r="L78" i="8"/>
  <c r="K78" i="8"/>
  <c r="J78" i="8"/>
  <c r="H78" i="8"/>
  <c r="R77" i="8"/>
  <c r="Q77" i="8"/>
  <c r="P77" i="8"/>
  <c r="O77" i="8"/>
  <c r="N77" i="8"/>
  <c r="M77" i="8"/>
  <c r="L77" i="8"/>
  <c r="K77" i="8"/>
  <c r="J77" i="8"/>
  <c r="H77" i="8"/>
  <c r="R76" i="8"/>
  <c r="Q76" i="8"/>
  <c r="P76" i="8"/>
  <c r="O76" i="8"/>
  <c r="N76" i="8"/>
  <c r="M76" i="8"/>
  <c r="L76" i="8"/>
  <c r="K76" i="8"/>
  <c r="J76" i="8"/>
  <c r="H76" i="8"/>
  <c r="R75" i="8"/>
  <c r="Q75" i="8"/>
  <c r="P75" i="8"/>
  <c r="O75" i="8"/>
  <c r="N75" i="8"/>
  <c r="M75" i="8"/>
  <c r="L75" i="8"/>
  <c r="K75" i="8"/>
  <c r="J75" i="8"/>
  <c r="H75" i="8"/>
  <c r="R74" i="8"/>
  <c r="Q74" i="8"/>
  <c r="P74" i="8"/>
  <c r="O74" i="8"/>
  <c r="N74" i="8"/>
  <c r="M74" i="8"/>
  <c r="L74" i="8"/>
  <c r="K74" i="8"/>
  <c r="J74" i="8"/>
  <c r="H74" i="8"/>
  <c r="R73" i="8"/>
  <c r="Q73" i="8"/>
  <c r="P73" i="8"/>
  <c r="O73" i="8"/>
  <c r="N73" i="8"/>
  <c r="M73" i="8"/>
  <c r="L73" i="8"/>
  <c r="K73" i="8"/>
  <c r="J73" i="8"/>
  <c r="H73" i="8"/>
  <c r="R72" i="8"/>
  <c r="Q72" i="8"/>
  <c r="P72" i="8"/>
  <c r="O72" i="8"/>
  <c r="N72" i="8"/>
  <c r="M72" i="8"/>
  <c r="L72" i="8"/>
  <c r="K72" i="8"/>
  <c r="J72" i="8"/>
  <c r="H72" i="8"/>
  <c r="R71" i="8"/>
  <c r="Q71" i="8"/>
  <c r="P71" i="8"/>
  <c r="O71" i="8"/>
  <c r="N71" i="8"/>
  <c r="M71" i="8"/>
  <c r="L71" i="8"/>
  <c r="K71" i="8"/>
  <c r="J71" i="8"/>
  <c r="H71" i="8"/>
  <c r="R70" i="8"/>
  <c r="Q70" i="8"/>
  <c r="P70" i="8"/>
  <c r="O70" i="8"/>
  <c r="N70" i="8"/>
  <c r="M70" i="8"/>
  <c r="L70" i="8"/>
  <c r="K70" i="8"/>
  <c r="J70" i="8"/>
  <c r="H70" i="8"/>
  <c r="R69" i="8"/>
  <c r="Q69" i="8"/>
  <c r="P69" i="8"/>
  <c r="O69" i="8"/>
  <c r="N69" i="8"/>
  <c r="M69" i="8"/>
  <c r="L69" i="8"/>
  <c r="K69" i="8"/>
  <c r="J69" i="8"/>
  <c r="H69" i="8"/>
  <c r="R68" i="8"/>
  <c r="Q68" i="8"/>
  <c r="P68" i="8"/>
  <c r="O68" i="8"/>
  <c r="N68" i="8"/>
  <c r="M68" i="8"/>
  <c r="L68" i="8"/>
  <c r="K68" i="8"/>
  <c r="J68" i="8"/>
  <c r="H68" i="8"/>
  <c r="R67" i="8"/>
  <c r="Q67" i="8"/>
  <c r="P67" i="8"/>
  <c r="O67" i="8"/>
  <c r="N67" i="8"/>
  <c r="M67" i="8"/>
  <c r="L67" i="8"/>
  <c r="K67" i="8"/>
  <c r="J67" i="8"/>
  <c r="H67" i="8"/>
  <c r="R66" i="8"/>
  <c r="Q66" i="8"/>
  <c r="P66" i="8"/>
  <c r="O66" i="8"/>
  <c r="N66" i="8"/>
  <c r="M66" i="8"/>
  <c r="L66" i="8"/>
  <c r="K66" i="8"/>
  <c r="J66" i="8"/>
  <c r="H66" i="8"/>
  <c r="R65" i="8"/>
  <c r="Q65" i="8"/>
  <c r="P65" i="8"/>
  <c r="O65" i="8"/>
  <c r="N65" i="8"/>
  <c r="M65" i="8"/>
  <c r="L65" i="8"/>
  <c r="K65" i="8"/>
  <c r="J65" i="8"/>
  <c r="H65" i="8"/>
  <c r="R64" i="8"/>
  <c r="Q64" i="8"/>
  <c r="P64" i="8"/>
  <c r="O64" i="8"/>
  <c r="N64" i="8"/>
  <c r="M64" i="8"/>
  <c r="L64" i="8"/>
  <c r="K64" i="8"/>
  <c r="J64" i="8"/>
  <c r="H64" i="8"/>
  <c r="R63" i="8"/>
  <c r="Q63" i="8"/>
  <c r="P63" i="8"/>
  <c r="O63" i="8"/>
  <c r="N63" i="8"/>
  <c r="M63" i="8"/>
  <c r="L63" i="8"/>
  <c r="K63" i="8"/>
  <c r="J63" i="8"/>
  <c r="H63" i="8"/>
  <c r="R62" i="8"/>
  <c r="Q62" i="8"/>
  <c r="P62" i="8"/>
  <c r="O62" i="8"/>
  <c r="N62" i="8"/>
  <c r="M62" i="8"/>
  <c r="L62" i="8"/>
  <c r="K62" i="8"/>
  <c r="J62" i="8"/>
  <c r="H62" i="8"/>
  <c r="R61" i="8"/>
  <c r="Q61" i="8"/>
  <c r="P61" i="8"/>
  <c r="O61" i="8"/>
  <c r="N61" i="8"/>
  <c r="M61" i="8"/>
  <c r="L61" i="8"/>
  <c r="K61" i="8"/>
  <c r="J61" i="8"/>
  <c r="H61" i="8"/>
  <c r="R60" i="8"/>
  <c r="Q60" i="8"/>
  <c r="P60" i="8"/>
  <c r="O60" i="8"/>
  <c r="N60" i="8"/>
  <c r="M60" i="8"/>
  <c r="L60" i="8"/>
  <c r="K60" i="8"/>
  <c r="J60" i="8"/>
  <c r="H60" i="8"/>
  <c r="R59" i="8"/>
  <c r="Q59" i="8"/>
  <c r="P59" i="8"/>
  <c r="O59" i="8"/>
  <c r="N59" i="8"/>
  <c r="M59" i="8"/>
  <c r="L59" i="8"/>
  <c r="K59" i="8"/>
  <c r="J59" i="8"/>
  <c r="H59" i="8"/>
  <c r="R58" i="8"/>
  <c r="Q58" i="8"/>
  <c r="P58" i="8"/>
  <c r="O58" i="8"/>
  <c r="N58" i="8"/>
  <c r="M58" i="8"/>
  <c r="L58" i="8"/>
  <c r="K58" i="8"/>
  <c r="J58" i="8"/>
  <c r="H58" i="8"/>
  <c r="R57" i="8"/>
  <c r="Q57" i="8"/>
  <c r="P57" i="8"/>
  <c r="O57" i="8"/>
  <c r="N57" i="8"/>
  <c r="M57" i="8"/>
  <c r="L57" i="8"/>
  <c r="K57" i="8"/>
  <c r="J57" i="8"/>
  <c r="H57" i="8"/>
  <c r="R56" i="8"/>
  <c r="Q56" i="8"/>
  <c r="P56" i="8"/>
  <c r="O56" i="8"/>
  <c r="N56" i="8"/>
  <c r="M56" i="8"/>
  <c r="L56" i="8"/>
  <c r="K56" i="8"/>
  <c r="J56" i="8"/>
  <c r="H56" i="8"/>
  <c r="R55" i="8"/>
  <c r="Q55" i="8"/>
  <c r="P55" i="8"/>
  <c r="O55" i="8"/>
  <c r="N55" i="8"/>
  <c r="M55" i="8"/>
  <c r="L55" i="8"/>
  <c r="K55" i="8"/>
  <c r="J55" i="8"/>
  <c r="H55" i="8"/>
  <c r="R54" i="8"/>
  <c r="Q54" i="8"/>
  <c r="P54" i="8"/>
  <c r="O54" i="8"/>
  <c r="N54" i="8"/>
  <c r="M54" i="8"/>
  <c r="L54" i="8"/>
  <c r="K54" i="8"/>
  <c r="J54" i="8"/>
  <c r="H54" i="8"/>
  <c r="R53" i="8"/>
  <c r="Q53" i="8"/>
  <c r="P53" i="8"/>
  <c r="O53" i="8"/>
  <c r="N53" i="8"/>
  <c r="M53" i="8"/>
  <c r="L53" i="8"/>
  <c r="K53" i="8"/>
  <c r="J53" i="8"/>
  <c r="H53" i="8"/>
  <c r="R52" i="8"/>
  <c r="Q52" i="8"/>
  <c r="P52" i="8"/>
  <c r="O52" i="8"/>
  <c r="N52" i="8"/>
  <c r="M52" i="8"/>
  <c r="L52" i="8"/>
  <c r="K52" i="8"/>
  <c r="J52" i="8"/>
  <c r="H52" i="8"/>
  <c r="R51" i="8"/>
  <c r="Q51" i="8"/>
  <c r="P51" i="8"/>
  <c r="O51" i="8"/>
  <c r="N51" i="8"/>
  <c r="M51" i="8"/>
  <c r="L51" i="8"/>
  <c r="K51" i="8"/>
  <c r="J51" i="8"/>
  <c r="H51" i="8"/>
  <c r="R50" i="8"/>
  <c r="Q50" i="8"/>
  <c r="P50" i="8"/>
  <c r="O50" i="8"/>
  <c r="N50" i="8"/>
  <c r="M50" i="8"/>
  <c r="L50" i="8"/>
  <c r="K50" i="8"/>
  <c r="J50" i="8"/>
  <c r="H50" i="8"/>
  <c r="R49" i="8"/>
  <c r="Q49" i="8"/>
  <c r="P49" i="8"/>
  <c r="O49" i="8"/>
  <c r="N49" i="8"/>
  <c r="M49" i="8"/>
  <c r="L49" i="8"/>
  <c r="K49" i="8"/>
  <c r="J49" i="8"/>
  <c r="H49" i="8"/>
  <c r="R48" i="8"/>
  <c r="Q48" i="8"/>
  <c r="P48" i="8"/>
  <c r="O48" i="8"/>
  <c r="N48" i="8"/>
  <c r="M48" i="8"/>
  <c r="L48" i="8"/>
  <c r="K48" i="8"/>
  <c r="J48" i="8"/>
  <c r="H48" i="8"/>
  <c r="R47" i="8"/>
  <c r="Q47" i="8"/>
  <c r="P47" i="8"/>
  <c r="O47" i="8"/>
  <c r="N47" i="8"/>
  <c r="M47" i="8"/>
  <c r="L47" i="8"/>
  <c r="K47" i="8"/>
  <c r="J47" i="8"/>
  <c r="H47" i="8"/>
  <c r="R46" i="8"/>
  <c r="Q46" i="8"/>
  <c r="P46" i="8"/>
  <c r="O46" i="8"/>
  <c r="N46" i="8"/>
  <c r="M46" i="8"/>
  <c r="L46" i="8"/>
  <c r="K46" i="8"/>
  <c r="J46" i="8"/>
  <c r="H46" i="8"/>
  <c r="R45" i="8"/>
  <c r="Q45" i="8"/>
  <c r="P45" i="8"/>
  <c r="O45" i="8"/>
  <c r="N45" i="8"/>
  <c r="M45" i="8"/>
  <c r="L45" i="8"/>
  <c r="K45" i="8"/>
  <c r="J45" i="8"/>
  <c r="H45" i="8"/>
  <c r="R44" i="8"/>
  <c r="Q44" i="8"/>
  <c r="P44" i="8"/>
  <c r="O44" i="8"/>
  <c r="N44" i="8"/>
  <c r="M44" i="8"/>
  <c r="L44" i="8"/>
  <c r="K44" i="8"/>
  <c r="J44" i="8"/>
  <c r="H44" i="8"/>
  <c r="R43" i="8"/>
  <c r="Q43" i="8"/>
  <c r="P43" i="8"/>
  <c r="O43" i="8"/>
  <c r="N43" i="8"/>
  <c r="M43" i="8"/>
  <c r="L43" i="8"/>
  <c r="K43" i="8"/>
  <c r="J43" i="8"/>
  <c r="H43" i="8"/>
  <c r="R42" i="8"/>
  <c r="Q42" i="8"/>
  <c r="P42" i="8"/>
  <c r="O42" i="8"/>
  <c r="N42" i="8"/>
  <c r="M42" i="8"/>
  <c r="L42" i="8"/>
  <c r="K42" i="8"/>
  <c r="J42" i="8"/>
  <c r="H42" i="8"/>
  <c r="R41" i="8"/>
  <c r="Q41" i="8"/>
  <c r="P41" i="8"/>
  <c r="O41" i="8"/>
  <c r="N41" i="8"/>
  <c r="M41" i="8"/>
  <c r="L41" i="8"/>
  <c r="K41" i="8"/>
  <c r="J41" i="8"/>
  <c r="H41" i="8"/>
  <c r="R40" i="8"/>
  <c r="Q40" i="8"/>
  <c r="P40" i="8"/>
  <c r="O40" i="8"/>
  <c r="N40" i="8"/>
  <c r="M40" i="8"/>
  <c r="L40" i="8"/>
  <c r="K40" i="8"/>
  <c r="J40" i="8"/>
  <c r="H40" i="8"/>
  <c r="R39" i="8"/>
  <c r="Q39" i="8"/>
  <c r="P39" i="8"/>
  <c r="O39" i="8"/>
  <c r="N39" i="8"/>
  <c r="M39" i="8"/>
  <c r="L39" i="8"/>
  <c r="K39" i="8"/>
  <c r="J39" i="8"/>
  <c r="H39" i="8"/>
  <c r="R38" i="8"/>
  <c r="Q38" i="8"/>
  <c r="P38" i="8"/>
  <c r="O38" i="8"/>
  <c r="N38" i="8"/>
  <c r="M38" i="8"/>
  <c r="L38" i="8"/>
  <c r="K38" i="8"/>
  <c r="J38" i="8"/>
  <c r="H38" i="8"/>
  <c r="R37" i="8"/>
  <c r="Q37" i="8"/>
  <c r="P37" i="8"/>
  <c r="O37" i="8"/>
  <c r="N37" i="8"/>
  <c r="M37" i="8"/>
  <c r="L37" i="8"/>
  <c r="K37" i="8"/>
  <c r="J37" i="8"/>
  <c r="H37" i="8"/>
  <c r="R36" i="8"/>
  <c r="Q36" i="8"/>
  <c r="P36" i="8"/>
  <c r="O36" i="8"/>
  <c r="N36" i="8"/>
  <c r="M36" i="8"/>
  <c r="L36" i="8"/>
  <c r="K36" i="8"/>
  <c r="J36" i="8"/>
  <c r="H36" i="8"/>
  <c r="R35" i="8"/>
  <c r="Q35" i="8"/>
  <c r="P35" i="8"/>
  <c r="O35" i="8"/>
  <c r="N35" i="8"/>
  <c r="M35" i="8"/>
  <c r="L35" i="8"/>
  <c r="K35" i="8"/>
  <c r="J35" i="8"/>
  <c r="H35" i="8"/>
  <c r="R34" i="8"/>
  <c r="Q34" i="8"/>
  <c r="P34" i="8"/>
  <c r="O34" i="8"/>
  <c r="N34" i="8"/>
  <c r="M34" i="8"/>
  <c r="L34" i="8"/>
  <c r="K34" i="8"/>
  <c r="J34" i="8"/>
  <c r="H34" i="8"/>
  <c r="R33" i="8"/>
  <c r="Q33" i="8"/>
  <c r="P33" i="8"/>
  <c r="O33" i="8"/>
  <c r="N33" i="8"/>
  <c r="M33" i="8"/>
  <c r="L33" i="8"/>
  <c r="K33" i="8"/>
  <c r="J33" i="8"/>
  <c r="H33" i="8"/>
  <c r="R32" i="8"/>
  <c r="Q32" i="8"/>
  <c r="P32" i="8"/>
  <c r="O32" i="8"/>
  <c r="N32" i="8"/>
  <c r="M32" i="8"/>
  <c r="L32" i="8"/>
  <c r="K32" i="8"/>
  <c r="J32" i="8"/>
  <c r="H32" i="8"/>
  <c r="R31" i="8"/>
  <c r="Q31" i="8"/>
  <c r="P31" i="8"/>
  <c r="O31" i="8"/>
  <c r="N31" i="8"/>
  <c r="M31" i="8"/>
  <c r="L31" i="8"/>
  <c r="K31" i="8"/>
  <c r="J31" i="8"/>
  <c r="H31" i="8"/>
  <c r="R30" i="8"/>
  <c r="Q30" i="8"/>
  <c r="P30" i="8"/>
  <c r="O30" i="8"/>
  <c r="N30" i="8"/>
  <c r="M30" i="8"/>
  <c r="L30" i="8"/>
  <c r="K30" i="8"/>
  <c r="J30" i="8"/>
  <c r="H30" i="8"/>
  <c r="R29" i="8"/>
  <c r="Q29" i="8"/>
  <c r="P29" i="8"/>
  <c r="O29" i="8"/>
  <c r="N29" i="8"/>
  <c r="M29" i="8"/>
  <c r="L29" i="8"/>
  <c r="K29" i="8"/>
  <c r="J29" i="8"/>
  <c r="H29" i="8"/>
  <c r="R28" i="8"/>
  <c r="Q28" i="8"/>
  <c r="P28" i="8"/>
  <c r="O28" i="8"/>
  <c r="N28" i="8"/>
  <c r="M28" i="8"/>
  <c r="L28" i="8"/>
  <c r="K28" i="8"/>
  <c r="J28" i="8"/>
  <c r="H28" i="8"/>
  <c r="R27" i="8"/>
  <c r="Q27" i="8"/>
  <c r="P27" i="8"/>
  <c r="O27" i="8"/>
  <c r="N27" i="8"/>
  <c r="M27" i="8"/>
  <c r="L27" i="8"/>
  <c r="K27" i="8"/>
  <c r="J27" i="8"/>
  <c r="H27" i="8"/>
  <c r="R26" i="8"/>
  <c r="Q26" i="8"/>
  <c r="P26" i="8"/>
  <c r="O26" i="8"/>
  <c r="N26" i="8"/>
  <c r="M26" i="8"/>
  <c r="L26" i="8"/>
  <c r="K26" i="8"/>
  <c r="J26" i="8"/>
  <c r="H26" i="8"/>
  <c r="R25" i="8"/>
  <c r="Q25" i="8"/>
  <c r="P25" i="8"/>
  <c r="O25" i="8"/>
  <c r="N25" i="8"/>
  <c r="M25" i="8"/>
  <c r="L25" i="8"/>
  <c r="K25" i="8"/>
  <c r="J25" i="8"/>
  <c r="H25" i="8"/>
  <c r="R24" i="8"/>
  <c r="Q24" i="8"/>
  <c r="P24" i="8"/>
  <c r="O24" i="8"/>
  <c r="N24" i="8"/>
  <c r="M24" i="8"/>
  <c r="L24" i="8"/>
  <c r="K24" i="8"/>
  <c r="J24" i="8"/>
  <c r="H24" i="8"/>
  <c r="R23" i="8"/>
  <c r="Q23" i="8"/>
  <c r="P23" i="8"/>
  <c r="O23" i="8"/>
  <c r="N23" i="8"/>
  <c r="M23" i="8"/>
  <c r="L23" i="8"/>
  <c r="K23" i="8"/>
  <c r="J23" i="8"/>
  <c r="H23" i="8"/>
  <c r="R22" i="8"/>
  <c r="Q22" i="8"/>
  <c r="P22" i="8"/>
  <c r="O22" i="8"/>
  <c r="N22" i="8"/>
  <c r="M22" i="8"/>
  <c r="L22" i="8"/>
  <c r="K22" i="8"/>
  <c r="J22" i="8"/>
  <c r="H22" i="8"/>
  <c r="R21" i="8"/>
  <c r="Q21" i="8"/>
  <c r="P21" i="8"/>
  <c r="O21" i="8"/>
  <c r="N21" i="8"/>
  <c r="M21" i="8"/>
  <c r="L21" i="8"/>
  <c r="K21" i="8"/>
  <c r="J21" i="8"/>
  <c r="H21" i="8"/>
  <c r="R20" i="8"/>
  <c r="Q20" i="8"/>
  <c r="P20" i="8"/>
  <c r="O20" i="8"/>
  <c r="N20" i="8"/>
  <c r="M20" i="8"/>
  <c r="L20" i="8"/>
  <c r="K20" i="8"/>
  <c r="J20" i="8"/>
  <c r="H20" i="8"/>
  <c r="R19" i="8"/>
  <c r="Q19" i="8"/>
  <c r="P19" i="8"/>
  <c r="O19" i="8"/>
  <c r="N19" i="8"/>
  <c r="M19" i="8"/>
  <c r="L19" i="8"/>
  <c r="K19" i="8"/>
  <c r="J19" i="8"/>
  <c r="H19" i="8"/>
  <c r="R18" i="8"/>
  <c r="Q18" i="8"/>
  <c r="P18" i="8"/>
  <c r="O18" i="8"/>
  <c r="N18" i="8"/>
  <c r="M18" i="8"/>
  <c r="L18" i="8"/>
  <c r="K18" i="8"/>
  <c r="J18" i="8"/>
  <c r="H18" i="8"/>
  <c r="R17" i="8"/>
  <c r="Q17" i="8"/>
  <c r="P17" i="8"/>
  <c r="O17" i="8"/>
  <c r="N17" i="8"/>
  <c r="M17" i="8"/>
  <c r="L17" i="8"/>
  <c r="K17" i="8"/>
  <c r="J17" i="8"/>
  <c r="H17" i="8"/>
  <c r="R16" i="8"/>
  <c r="Q16" i="8"/>
  <c r="P16" i="8"/>
  <c r="O16" i="8"/>
  <c r="N16" i="8"/>
  <c r="M16" i="8"/>
  <c r="L16" i="8"/>
  <c r="K16" i="8"/>
  <c r="J16" i="8"/>
  <c r="H16" i="8"/>
  <c r="R15" i="8"/>
  <c r="Q15" i="8"/>
  <c r="P15" i="8"/>
  <c r="O15" i="8"/>
  <c r="N15" i="8"/>
  <c r="M15" i="8"/>
  <c r="L15" i="8"/>
  <c r="K15" i="8"/>
  <c r="J15" i="8"/>
  <c r="H15" i="8"/>
  <c r="R14" i="8"/>
  <c r="Q14" i="8"/>
  <c r="P14" i="8"/>
  <c r="O14" i="8"/>
  <c r="N14" i="8"/>
  <c r="M14" i="8"/>
  <c r="L14" i="8"/>
  <c r="K14" i="8"/>
  <c r="J14" i="8"/>
  <c r="H14" i="8"/>
  <c r="R13" i="8"/>
  <c r="Q13" i="8"/>
  <c r="P13" i="8"/>
  <c r="O13" i="8"/>
  <c r="N13" i="8"/>
  <c r="M13" i="8"/>
  <c r="L13" i="8"/>
  <c r="K13" i="8"/>
  <c r="J13" i="8"/>
  <c r="H13" i="8"/>
  <c r="R12" i="8"/>
  <c r="Q12" i="8"/>
  <c r="P12" i="8"/>
  <c r="O12" i="8"/>
  <c r="N12" i="8"/>
  <c r="M12" i="8"/>
  <c r="L12" i="8"/>
  <c r="K12" i="8"/>
  <c r="J12" i="8"/>
  <c r="H12" i="8"/>
  <c r="Y11" i="8"/>
  <c r="R11" i="8"/>
  <c r="Q11" i="8"/>
  <c r="P11" i="8"/>
  <c r="O11" i="8"/>
  <c r="N11" i="8"/>
  <c r="M11" i="8"/>
  <c r="L11" i="8"/>
  <c r="K11" i="8"/>
  <c r="J11" i="8"/>
  <c r="H11" i="8"/>
  <c r="R10" i="8"/>
  <c r="Q10" i="8"/>
  <c r="P10" i="8"/>
  <c r="O10" i="8"/>
  <c r="N10" i="8"/>
  <c r="M10" i="8"/>
  <c r="L10" i="8"/>
  <c r="K10" i="8"/>
  <c r="J10" i="8"/>
  <c r="H10" i="8"/>
  <c r="R9" i="8"/>
  <c r="Q9" i="8"/>
  <c r="P9" i="8"/>
  <c r="O9" i="8"/>
  <c r="N9" i="8"/>
  <c r="M9" i="8"/>
  <c r="L9" i="8"/>
  <c r="K9" i="8"/>
  <c r="J9" i="8"/>
  <c r="H9" i="8"/>
  <c r="Y8" i="8"/>
  <c r="R8" i="8"/>
  <c r="Q8" i="8"/>
  <c r="P8" i="8"/>
  <c r="O8" i="8"/>
  <c r="N8" i="8"/>
  <c r="M8" i="8"/>
  <c r="L8" i="8"/>
  <c r="K8" i="8"/>
  <c r="J8" i="8"/>
  <c r="H8" i="8"/>
  <c r="Y7" i="8"/>
  <c r="R7" i="8"/>
  <c r="Q7" i="8"/>
  <c r="P7" i="8"/>
  <c r="O7" i="8"/>
  <c r="N7" i="8"/>
  <c r="M7" i="8"/>
  <c r="L7" i="8"/>
  <c r="K7" i="8"/>
  <c r="J7" i="8"/>
  <c r="H7" i="8"/>
  <c r="R6" i="8"/>
  <c r="Q6" i="8"/>
  <c r="P6" i="8"/>
  <c r="O6" i="8"/>
  <c r="N6" i="8"/>
  <c r="M6" i="8"/>
  <c r="L6" i="8"/>
  <c r="K6" i="8"/>
  <c r="J6" i="8"/>
  <c r="H6" i="8"/>
  <c r="R5" i="8"/>
  <c r="Q5" i="8"/>
  <c r="P5" i="8"/>
  <c r="O5" i="8"/>
  <c r="N5" i="8"/>
  <c r="M5" i="8"/>
  <c r="L5" i="8"/>
  <c r="K5" i="8"/>
  <c r="J5" i="8"/>
  <c r="H5" i="8"/>
  <c r="Y4" i="8"/>
  <c r="R4" i="8"/>
  <c r="Q4" i="8"/>
  <c r="P4" i="8"/>
  <c r="O4" i="8"/>
  <c r="N4" i="8"/>
  <c r="M4" i="8"/>
  <c r="L4" i="8"/>
  <c r="K4" i="8"/>
  <c r="J4" i="8"/>
  <c r="H4" i="8"/>
  <c r="AF3" i="8"/>
  <c r="Y3" i="8"/>
  <c r="R3" i="8"/>
  <c r="Q3" i="8"/>
  <c r="P3" i="8"/>
  <c r="O3" i="8"/>
  <c r="N3" i="8"/>
  <c r="M3" i="8"/>
  <c r="L3" i="8"/>
  <c r="K3" i="8"/>
  <c r="J3" i="8"/>
  <c r="AA3" i="8" s="1"/>
  <c r="H3" i="8"/>
  <c r="R2" i="8"/>
  <c r="AI3" i="8" s="1"/>
  <c r="Q2" i="8"/>
  <c r="AH3" i="8" s="1"/>
  <c r="P2" i="8"/>
  <c r="AG3" i="8" s="1"/>
  <c r="O2" i="8"/>
  <c r="N2" i="8"/>
  <c r="AE3" i="8" s="1"/>
  <c r="M2" i="8"/>
  <c r="AD3" i="8" s="1"/>
  <c r="L2" i="8"/>
  <c r="AC3" i="8" s="1"/>
  <c r="K2" i="8"/>
  <c r="AB3" i="8" s="1"/>
  <c r="J2" i="8"/>
  <c r="H2" i="8"/>
  <c r="N3" i="2"/>
  <c r="O3" i="2"/>
  <c r="G24" i="7"/>
  <c r="G21" i="7"/>
  <c r="G18" i="7"/>
  <c r="D23" i="7"/>
  <c r="D18" i="7"/>
  <c r="B2" i="7" a="1"/>
  <c r="B2" i="7" s="1"/>
  <c r="F2" i="6" a="1"/>
  <c r="F2" i="6" s="1"/>
  <c r="B2" i="6" a="1"/>
  <c r="R141" i="5"/>
  <c r="Q141" i="5"/>
  <c r="P141" i="5"/>
  <c r="O141" i="5"/>
  <c r="N141" i="5"/>
  <c r="M141" i="5"/>
  <c r="L141" i="5"/>
  <c r="K141" i="5"/>
  <c r="J141" i="5"/>
  <c r="H141" i="5"/>
  <c r="R140" i="5"/>
  <c r="Q140" i="5"/>
  <c r="P140" i="5"/>
  <c r="O140" i="5"/>
  <c r="N140" i="5"/>
  <c r="M140" i="5"/>
  <c r="L140" i="5"/>
  <c r="K140" i="5"/>
  <c r="J140" i="5"/>
  <c r="H140" i="5"/>
  <c r="R139" i="5"/>
  <c r="Q139" i="5"/>
  <c r="P139" i="5"/>
  <c r="O139" i="5"/>
  <c r="N139" i="5"/>
  <c r="M139" i="5"/>
  <c r="L139" i="5"/>
  <c r="K139" i="5"/>
  <c r="J139" i="5"/>
  <c r="H139" i="5"/>
  <c r="R138" i="5"/>
  <c r="Q138" i="5"/>
  <c r="P138" i="5"/>
  <c r="O138" i="5"/>
  <c r="N138" i="5"/>
  <c r="M138" i="5"/>
  <c r="L138" i="5"/>
  <c r="K138" i="5"/>
  <c r="J138" i="5"/>
  <c r="H138" i="5"/>
  <c r="R137" i="5"/>
  <c r="Q137" i="5"/>
  <c r="P137" i="5"/>
  <c r="O137" i="5"/>
  <c r="N137" i="5"/>
  <c r="M137" i="5"/>
  <c r="L137" i="5"/>
  <c r="K137" i="5"/>
  <c r="J137" i="5"/>
  <c r="H137" i="5"/>
  <c r="R136" i="5"/>
  <c r="Q136" i="5"/>
  <c r="P136" i="5"/>
  <c r="O136" i="5"/>
  <c r="N136" i="5"/>
  <c r="M136" i="5"/>
  <c r="L136" i="5"/>
  <c r="K136" i="5"/>
  <c r="J136" i="5"/>
  <c r="H136" i="5"/>
  <c r="R135" i="5"/>
  <c r="Q135" i="5"/>
  <c r="P135" i="5"/>
  <c r="O135" i="5"/>
  <c r="N135" i="5"/>
  <c r="M135" i="5"/>
  <c r="L135" i="5"/>
  <c r="K135" i="5"/>
  <c r="J135" i="5"/>
  <c r="H135" i="5"/>
  <c r="R134" i="5"/>
  <c r="Q134" i="5"/>
  <c r="P134" i="5"/>
  <c r="O134" i="5"/>
  <c r="N134" i="5"/>
  <c r="M134" i="5"/>
  <c r="L134" i="5"/>
  <c r="K134" i="5"/>
  <c r="J134" i="5"/>
  <c r="H134" i="5"/>
  <c r="R133" i="5"/>
  <c r="Q133" i="5"/>
  <c r="P133" i="5"/>
  <c r="O133" i="5"/>
  <c r="N133" i="5"/>
  <c r="M133" i="5"/>
  <c r="L133" i="5"/>
  <c r="K133" i="5"/>
  <c r="J133" i="5"/>
  <c r="H133" i="5"/>
  <c r="R132" i="5"/>
  <c r="Q132" i="5"/>
  <c r="P132" i="5"/>
  <c r="O132" i="5"/>
  <c r="N132" i="5"/>
  <c r="M132" i="5"/>
  <c r="L132" i="5"/>
  <c r="K132" i="5"/>
  <c r="J132" i="5"/>
  <c r="H132" i="5"/>
  <c r="R131" i="5"/>
  <c r="Q131" i="5"/>
  <c r="P131" i="5"/>
  <c r="O131" i="5"/>
  <c r="N131" i="5"/>
  <c r="M131" i="5"/>
  <c r="L131" i="5"/>
  <c r="K131" i="5"/>
  <c r="J131" i="5"/>
  <c r="H131" i="5"/>
  <c r="R130" i="5"/>
  <c r="Q130" i="5"/>
  <c r="P130" i="5"/>
  <c r="O130" i="5"/>
  <c r="N130" i="5"/>
  <c r="M130" i="5"/>
  <c r="L130" i="5"/>
  <c r="K130" i="5"/>
  <c r="J130" i="5"/>
  <c r="H130" i="5"/>
  <c r="R129" i="5"/>
  <c r="Q129" i="5"/>
  <c r="P129" i="5"/>
  <c r="O129" i="5"/>
  <c r="N129" i="5"/>
  <c r="M129" i="5"/>
  <c r="L129" i="5"/>
  <c r="K129" i="5"/>
  <c r="J129" i="5"/>
  <c r="H129" i="5"/>
  <c r="R128" i="5"/>
  <c r="Q128" i="5"/>
  <c r="P128" i="5"/>
  <c r="O128" i="5"/>
  <c r="N128" i="5"/>
  <c r="M128" i="5"/>
  <c r="L128" i="5"/>
  <c r="K128" i="5"/>
  <c r="J128" i="5"/>
  <c r="H128" i="5"/>
  <c r="R127" i="5"/>
  <c r="Q127" i="5"/>
  <c r="P127" i="5"/>
  <c r="O127" i="5"/>
  <c r="N127" i="5"/>
  <c r="M127" i="5"/>
  <c r="L127" i="5"/>
  <c r="K127" i="5"/>
  <c r="J127" i="5"/>
  <c r="H127" i="5"/>
  <c r="R126" i="5"/>
  <c r="Q126" i="5"/>
  <c r="P126" i="5"/>
  <c r="O126" i="5"/>
  <c r="N126" i="5"/>
  <c r="M126" i="5"/>
  <c r="L126" i="5"/>
  <c r="K126" i="5"/>
  <c r="J126" i="5"/>
  <c r="H126" i="5"/>
  <c r="R125" i="5"/>
  <c r="Q125" i="5"/>
  <c r="P125" i="5"/>
  <c r="O125" i="5"/>
  <c r="N125" i="5"/>
  <c r="M125" i="5"/>
  <c r="L125" i="5"/>
  <c r="K125" i="5"/>
  <c r="J125" i="5"/>
  <c r="H125" i="5"/>
  <c r="R124" i="5"/>
  <c r="Q124" i="5"/>
  <c r="P124" i="5"/>
  <c r="O124" i="5"/>
  <c r="N124" i="5"/>
  <c r="M124" i="5"/>
  <c r="L124" i="5"/>
  <c r="K124" i="5"/>
  <c r="J124" i="5"/>
  <c r="H124" i="5"/>
  <c r="R123" i="5"/>
  <c r="Q123" i="5"/>
  <c r="P123" i="5"/>
  <c r="O123" i="5"/>
  <c r="N123" i="5"/>
  <c r="M123" i="5"/>
  <c r="L123" i="5"/>
  <c r="K123" i="5"/>
  <c r="J123" i="5"/>
  <c r="H123" i="5"/>
  <c r="R122" i="5"/>
  <c r="Q122" i="5"/>
  <c r="P122" i="5"/>
  <c r="O122" i="5"/>
  <c r="N122" i="5"/>
  <c r="M122" i="5"/>
  <c r="L122" i="5"/>
  <c r="K122" i="5"/>
  <c r="J122" i="5"/>
  <c r="H122" i="5"/>
  <c r="R121" i="5"/>
  <c r="Q121" i="5"/>
  <c r="P121" i="5"/>
  <c r="O121" i="5"/>
  <c r="N121" i="5"/>
  <c r="M121" i="5"/>
  <c r="L121" i="5"/>
  <c r="K121" i="5"/>
  <c r="J121" i="5"/>
  <c r="H121" i="5"/>
  <c r="R120" i="5"/>
  <c r="Q120" i="5"/>
  <c r="P120" i="5"/>
  <c r="O120" i="5"/>
  <c r="N120" i="5"/>
  <c r="M120" i="5"/>
  <c r="L120" i="5"/>
  <c r="K120" i="5"/>
  <c r="J120" i="5"/>
  <c r="H120" i="5"/>
  <c r="R119" i="5"/>
  <c r="Q119" i="5"/>
  <c r="P119" i="5"/>
  <c r="O119" i="5"/>
  <c r="N119" i="5"/>
  <c r="M119" i="5"/>
  <c r="L119" i="5"/>
  <c r="K119" i="5"/>
  <c r="J119" i="5"/>
  <c r="H119" i="5"/>
  <c r="R118" i="5"/>
  <c r="Q118" i="5"/>
  <c r="P118" i="5"/>
  <c r="O118" i="5"/>
  <c r="N118" i="5"/>
  <c r="M118" i="5"/>
  <c r="L118" i="5"/>
  <c r="K118" i="5"/>
  <c r="J118" i="5"/>
  <c r="H118" i="5"/>
  <c r="R117" i="5"/>
  <c r="Q117" i="5"/>
  <c r="P117" i="5"/>
  <c r="O117" i="5"/>
  <c r="N117" i="5"/>
  <c r="M117" i="5"/>
  <c r="L117" i="5"/>
  <c r="K117" i="5"/>
  <c r="J117" i="5"/>
  <c r="H117" i="5"/>
  <c r="R116" i="5"/>
  <c r="Q116" i="5"/>
  <c r="P116" i="5"/>
  <c r="O116" i="5"/>
  <c r="N116" i="5"/>
  <c r="M116" i="5"/>
  <c r="L116" i="5"/>
  <c r="K116" i="5"/>
  <c r="J116" i="5"/>
  <c r="H116" i="5"/>
  <c r="R115" i="5"/>
  <c r="Q115" i="5"/>
  <c r="P115" i="5"/>
  <c r="O115" i="5"/>
  <c r="N115" i="5"/>
  <c r="M115" i="5"/>
  <c r="L115" i="5"/>
  <c r="K115" i="5"/>
  <c r="J115" i="5"/>
  <c r="H115" i="5"/>
  <c r="R114" i="5"/>
  <c r="Q114" i="5"/>
  <c r="P114" i="5"/>
  <c r="O114" i="5"/>
  <c r="N114" i="5"/>
  <c r="M114" i="5"/>
  <c r="L114" i="5"/>
  <c r="K114" i="5"/>
  <c r="J114" i="5"/>
  <c r="H114" i="5"/>
  <c r="R113" i="5"/>
  <c r="Q113" i="5"/>
  <c r="P113" i="5"/>
  <c r="O113" i="5"/>
  <c r="N113" i="5"/>
  <c r="M113" i="5"/>
  <c r="L113" i="5"/>
  <c r="K113" i="5"/>
  <c r="J113" i="5"/>
  <c r="H113" i="5"/>
  <c r="R112" i="5"/>
  <c r="Q112" i="5"/>
  <c r="P112" i="5"/>
  <c r="O112" i="5"/>
  <c r="N112" i="5"/>
  <c r="M112" i="5"/>
  <c r="L112" i="5"/>
  <c r="K112" i="5"/>
  <c r="J112" i="5"/>
  <c r="H112" i="5"/>
  <c r="R111" i="5"/>
  <c r="Q111" i="5"/>
  <c r="P111" i="5"/>
  <c r="O111" i="5"/>
  <c r="N111" i="5"/>
  <c r="M111" i="5"/>
  <c r="L111" i="5"/>
  <c r="K111" i="5"/>
  <c r="J111" i="5"/>
  <c r="H111" i="5"/>
  <c r="R110" i="5"/>
  <c r="Q110" i="5"/>
  <c r="P110" i="5"/>
  <c r="O110" i="5"/>
  <c r="N110" i="5"/>
  <c r="M110" i="5"/>
  <c r="L110" i="5"/>
  <c r="K110" i="5"/>
  <c r="J110" i="5"/>
  <c r="H110" i="5"/>
  <c r="R109" i="5"/>
  <c r="Q109" i="5"/>
  <c r="P109" i="5"/>
  <c r="O109" i="5"/>
  <c r="N109" i="5"/>
  <c r="M109" i="5"/>
  <c r="L109" i="5"/>
  <c r="K109" i="5"/>
  <c r="J109" i="5"/>
  <c r="H109" i="5"/>
  <c r="R108" i="5"/>
  <c r="Q108" i="5"/>
  <c r="P108" i="5"/>
  <c r="O108" i="5"/>
  <c r="N108" i="5"/>
  <c r="M108" i="5"/>
  <c r="L108" i="5"/>
  <c r="K108" i="5"/>
  <c r="J108" i="5"/>
  <c r="H108" i="5"/>
  <c r="R107" i="5"/>
  <c r="Q107" i="5"/>
  <c r="P107" i="5"/>
  <c r="O107" i="5"/>
  <c r="N107" i="5"/>
  <c r="M107" i="5"/>
  <c r="L107" i="5"/>
  <c r="K107" i="5"/>
  <c r="J107" i="5"/>
  <c r="H107" i="5"/>
  <c r="R106" i="5"/>
  <c r="Q106" i="5"/>
  <c r="P106" i="5"/>
  <c r="O106" i="5"/>
  <c r="N106" i="5"/>
  <c r="M106" i="5"/>
  <c r="L106" i="5"/>
  <c r="K106" i="5"/>
  <c r="J106" i="5"/>
  <c r="H106" i="5"/>
  <c r="R105" i="5"/>
  <c r="Q105" i="5"/>
  <c r="P105" i="5"/>
  <c r="O105" i="5"/>
  <c r="N105" i="5"/>
  <c r="M105" i="5"/>
  <c r="L105" i="5"/>
  <c r="K105" i="5"/>
  <c r="J105" i="5"/>
  <c r="H105" i="5"/>
  <c r="R104" i="5"/>
  <c r="Q104" i="5"/>
  <c r="P104" i="5"/>
  <c r="O104" i="5"/>
  <c r="N104" i="5"/>
  <c r="M104" i="5"/>
  <c r="L104" i="5"/>
  <c r="K104" i="5"/>
  <c r="J104" i="5"/>
  <c r="H104" i="5"/>
  <c r="R103" i="5"/>
  <c r="Q103" i="5"/>
  <c r="P103" i="5"/>
  <c r="O103" i="5"/>
  <c r="N103" i="5"/>
  <c r="M103" i="5"/>
  <c r="L103" i="5"/>
  <c r="K103" i="5"/>
  <c r="J103" i="5"/>
  <c r="H103" i="5"/>
  <c r="R102" i="5"/>
  <c r="Q102" i="5"/>
  <c r="P102" i="5"/>
  <c r="O102" i="5"/>
  <c r="N102" i="5"/>
  <c r="M102" i="5"/>
  <c r="L102" i="5"/>
  <c r="K102" i="5"/>
  <c r="J102" i="5"/>
  <c r="H102" i="5"/>
  <c r="R101" i="5"/>
  <c r="Q101" i="5"/>
  <c r="P101" i="5"/>
  <c r="O101" i="5"/>
  <c r="N101" i="5"/>
  <c r="M101" i="5"/>
  <c r="L101" i="5"/>
  <c r="K101" i="5"/>
  <c r="J101" i="5"/>
  <c r="H101" i="5"/>
  <c r="R100" i="5"/>
  <c r="Q100" i="5"/>
  <c r="P100" i="5"/>
  <c r="O100" i="5"/>
  <c r="N100" i="5"/>
  <c r="M100" i="5"/>
  <c r="L100" i="5"/>
  <c r="K100" i="5"/>
  <c r="J100" i="5"/>
  <c r="H100" i="5"/>
  <c r="R99" i="5"/>
  <c r="Q99" i="5"/>
  <c r="P99" i="5"/>
  <c r="O99" i="5"/>
  <c r="N99" i="5"/>
  <c r="M99" i="5"/>
  <c r="L99" i="5"/>
  <c r="K99" i="5"/>
  <c r="J99" i="5"/>
  <c r="H99" i="5"/>
  <c r="R98" i="5"/>
  <c r="Q98" i="5"/>
  <c r="P98" i="5"/>
  <c r="O98" i="5"/>
  <c r="N98" i="5"/>
  <c r="M98" i="5"/>
  <c r="L98" i="5"/>
  <c r="K98" i="5"/>
  <c r="J98" i="5"/>
  <c r="H98" i="5"/>
  <c r="R97" i="5"/>
  <c r="Q97" i="5"/>
  <c r="P97" i="5"/>
  <c r="O97" i="5"/>
  <c r="N97" i="5"/>
  <c r="M97" i="5"/>
  <c r="L97" i="5"/>
  <c r="K97" i="5"/>
  <c r="J97" i="5"/>
  <c r="H97" i="5"/>
  <c r="R96" i="5"/>
  <c r="Q96" i="5"/>
  <c r="P96" i="5"/>
  <c r="O96" i="5"/>
  <c r="N96" i="5"/>
  <c r="M96" i="5"/>
  <c r="L96" i="5"/>
  <c r="K96" i="5"/>
  <c r="J96" i="5"/>
  <c r="H96" i="5"/>
  <c r="R95" i="5"/>
  <c r="Q95" i="5"/>
  <c r="P95" i="5"/>
  <c r="O95" i="5"/>
  <c r="N95" i="5"/>
  <c r="M95" i="5"/>
  <c r="L95" i="5"/>
  <c r="K95" i="5"/>
  <c r="J95" i="5"/>
  <c r="H95" i="5"/>
  <c r="R94" i="5"/>
  <c r="Q94" i="5"/>
  <c r="P94" i="5"/>
  <c r="O94" i="5"/>
  <c r="N94" i="5"/>
  <c r="M94" i="5"/>
  <c r="L94" i="5"/>
  <c r="K94" i="5"/>
  <c r="J94" i="5"/>
  <c r="H94" i="5"/>
  <c r="R93" i="5"/>
  <c r="Q93" i="5"/>
  <c r="P93" i="5"/>
  <c r="O93" i="5"/>
  <c r="N93" i="5"/>
  <c r="M93" i="5"/>
  <c r="L93" i="5"/>
  <c r="K93" i="5"/>
  <c r="J93" i="5"/>
  <c r="H93" i="5"/>
  <c r="R92" i="5"/>
  <c r="Q92" i="5"/>
  <c r="P92" i="5"/>
  <c r="O92" i="5"/>
  <c r="N92" i="5"/>
  <c r="M92" i="5"/>
  <c r="L92" i="5"/>
  <c r="K92" i="5"/>
  <c r="J92" i="5"/>
  <c r="H92" i="5"/>
  <c r="R91" i="5"/>
  <c r="Q91" i="5"/>
  <c r="P91" i="5"/>
  <c r="O91" i="5"/>
  <c r="N91" i="5"/>
  <c r="M91" i="5"/>
  <c r="L91" i="5"/>
  <c r="K91" i="5"/>
  <c r="J91" i="5"/>
  <c r="H91" i="5"/>
  <c r="R90" i="5"/>
  <c r="Q90" i="5"/>
  <c r="P90" i="5"/>
  <c r="O90" i="5"/>
  <c r="N90" i="5"/>
  <c r="M90" i="5"/>
  <c r="L90" i="5"/>
  <c r="K90" i="5"/>
  <c r="J90" i="5"/>
  <c r="H90" i="5"/>
  <c r="R89" i="5"/>
  <c r="Q89" i="5"/>
  <c r="P89" i="5"/>
  <c r="O89" i="5"/>
  <c r="N89" i="5"/>
  <c r="M89" i="5"/>
  <c r="L89" i="5"/>
  <c r="K89" i="5"/>
  <c r="J89" i="5"/>
  <c r="H89" i="5"/>
  <c r="R88" i="5"/>
  <c r="Q88" i="5"/>
  <c r="P88" i="5"/>
  <c r="O88" i="5"/>
  <c r="N88" i="5"/>
  <c r="M88" i="5"/>
  <c r="L88" i="5"/>
  <c r="K88" i="5"/>
  <c r="J88" i="5"/>
  <c r="H88" i="5"/>
  <c r="R87" i="5"/>
  <c r="Q87" i="5"/>
  <c r="P87" i="5"/>
  <c r="O87" i="5"/>
  <c r="N87" i="5"/>
  <c r="M87" i="5"/>
  <c r="L87" i="5"/>
  <c r="K87" i="5"/>
  <c r="J87" i="5"/>
  <c r="H87" i="5"/>
  <c r="R86" i="5"/>
  <c r="Q86" i="5"/>
  <c r="P86" i="5"/>
  <c r="O86" i="5"/>
  <c r="N86" i="5"/>
  <c r="M86" i="5"/>
  <c r="L86" i="5"/>
  <c r="K86" i="5"/>
  <c r="J86" i="5"/>
  <c r="H86" i="5"/>
  <c r="R85" i="5"/>
  <c r="Q85" i="5"/>
  <c r="P85" i="5"/>
  <c r="O85" i="5"/>
  <c r="N85" i="5"/>
  <c r="M85" i="5"/>
  <c r="L85" i="5"/>
  <c r="K85" i="5"/>
  <c r="J85" i="5"/>
  <c r="H85" i="5"/>
  <c r="R84" i="5"/>
  <c r="Q84" i="5"/>
  <c r="P84" i="5"/>
  <c r="O84" i="5"/>
  <c r="N84" i="5"/>
  <c r="M84" i="5"/>
  <c r="L84" i="5"/>
  <c r="K84" i="5"/>
  <c r="J84" i="5"/>
  <c r="H84" i="5"/>
  <c r="R83" i="5"/>
  <c r="Q83" i="5"/>
  <c r="P83" i="5"/>
  <c r="O83" i="5"/>
  <c r="N83" i="5"/>
  <c r="M83" i="5"/>
  <c r="L83" i="5"/>
  <c r="K83" i="5"/>
  <c r="J83" i="5"/>
  <c r="H83" i="5"/>
  <c r="R82" i="5"/>
  <c r="Q82" i="5"/>
  <c r="P82" i="5"/>
  <c r="O82" i="5"/>
  <c r="N82" i="5"/>
  <c r="M82" i="5"/>
  <c r="L82" i="5"/>
  <c r="K82" i="5"/>
  <c r="J82" i="5"/>
  <c r="H82" i="5"/>
  <c r="R81" i="5"/>
  <c r="Q81" i="5"/>
  <c r="P81" i="5"/>
  <c r="O81" i="5"/>
  <c r="N81" i="5"/>
  <c r="M81" i="5"/>
  <c r="L81" i="5"/>
  <c r="K81" i="5"/>
  <c r="J81" i="5"/>
  <c r="H81" i="5"/>
  <c r="R80" i="5"/>
  <c r="Q80" i="5"/>
  <c r="P80" i="5"/>
  <c r="O80" i="5"/>
  <c r="N80" i="5"/>
  <c r="M80" i="5"/>
  <c r="L80" i="5"/>
  <c r="K80" i="5"/>
  <c r="J80" i="5"/>
  <c r="H80" i="5"/>
  <c r="R79" i="5"/>
  <c r="Q79" i="5"/>
  <c r="P79" i="5"/>
  <c r="O79" i="5"/>
  <c r="N79" i="5"/>
  <c r="M79" i="5"/>
  <c r="L79" i="5"/>
  <c r="K79" i="5"/>
  <c r="J79" i="5"/>
  <c r="H79" i="5"/>
  <c r="R78" i="5"/>
  <c r="Q78" i="5"/>
  <c r="P78" i="5"/>
  <c r="O78" i="5"/>
  <c r="N78" i="5"/>
  <c r="M78" i="5"/>
  <c r="L78" i="5"/>
  <c r="K78" i="5"/>
  <c r="J78" i="5"/>
  <c r="H78" i="5"/>
  <c r="R77" i="5"/>
  <c r="Q77" i="5"/>
  <c r="P77" i="5"/>
  <c r="O77" i="5"/>
  <c r="N77" i="5"/>
  <c r="M77" i="5"/>
  <c r="L77" i="5"/>
  <c r="K77" i="5"/>
  <c r="J77" i="5"/>
  <c r="H77" i="5"/>
  <c r="R76" i="5"/>
  <c r="Q76" i="5"/>
  <c r="P76" i="5"/>
  <c r="O76" i="5"/>
  <c r="N76" i="5"/>
  <c r="M76" i="5"/>
  <c r="L76" i="5"/>
  <c r="K76" i="5"/>
  <c r="J76" i="5"/>
  <c r="H76" i="5"/>
  <c r="R75" i="5"/>
  <c r="Q75" i="5"/>
  <c r="P75" i="5"/>
  <c r="O75" i="5"/>
  <c r="N75" i="5"/>
  <c r="M75" i="5"/>
  <c r="L75" i="5"/>
  <c r="K75" i="5"/>
  <c r="J75" i="5"/>
  <c r="H75" i="5"/>
  <c r="R74" i="5"/>
  <c r="Q74" i="5"/>
  <c r="P74" i="5"/>
  <c r="O74" i="5"/>
  <c r="N74" i="5"/>
  <c r="M74" i="5"/>
  <c r="L74" i="5"/>
  <c r="K74" i="5"/>
  <c r="J74" i="5"/>
  <c r="H74" i="5"/>
  <c r="R73" i="5"/>
  <c r="Q73" i="5"/>
  <c r="P73" i="5"/>
  <c r="O73" i="5"/>
  <c r="N73" i="5"/>
  <c r="M73" i="5"/>
  <c r="L73" i="5"/>
  <c r="K73" i="5"/>
  <c r="J73" i="5"/>
  <c r="H73" i="5"/>
  <c r="R72" i="5"/>
  <c r="Q72" i="5"/>
  <c r="P72" i="5"/>
  <c r="O72" i="5"/>
  <c r="N72" i="5"/>
  <c r="M72" i="5"/>
  <c r="L72" i="5"/>
  <c r="K72" i="5"/>
  <c r="J72" i="5"/>
  <c r="H72" i="5"/>
  <c r="R71" i="5"/>
  <c r="Q71" i="5"/>
  <c r="P71" i="5"/>
  <c r="O71" i="5"/>
  <c r="N71" i="5"/>
  <c r="M71" i="5"/>
  <c r="L71" i="5"/>
  <c r="K71" i="5"/>
  <c r="J71" i="5"/>
  <c r="H71" i="5"/>
  <c r="R70" i="5"/>
  <c r="Q70" i="5"/>
  <c r="P70" i="5"/>
  <c r="O70" i="5"/>
  <c r="N70" i="5"/>
  <c r="M70" i="5"/>
  <c r="L70" i="5"/>
  <c r="K70" i="5"/>
  <c r="J70" i="5"/>
  <c r="H70" i="5"/>
  <c r="R69" i="5"/>
  <c r="Q69" i="5"/>
  <c r="P69" i="5"/>
  <c r="O69" i="5"/>
  <c r="N69" i="5"/>
  <c r="M69" i="5"/>
  <c r="L69" i="5"/>
  <c r="K69" i="5"/>
  <c r="J69" i="5"/>
  <c r="H69" i="5"/>
  <c r="R68" i="5"/>
  <c r="Q68" i="5"/>
  <c r="P68" i="5"/>
  <c r="O68" i="5"/>
  <c r="N68" i="5"/>
  <c r="M68" i="5"/>
  <c r="L68" i="5"/>
  <c r="K68" i="5"/>
  <c r="J68" i="5"/>
  <c r="H68" i="5"/>
  <c r="R67" i="5"/>
  <c r="Q67" i="5"/>
  <c r="P67" i="5"/>
  <c r="O67" i="5"/>
  <c r="N67" i="5"/>
  <c r="M67" i="5"/>
  <c r="L67" i="5"/>
  <c r="K67" i="5"/>
  <c r="J67" i="5"/>
  <c r="H67" i="5"/>
  <c r="R66" i="5"/>
  <c r="Q66" i="5"/>
  <c r="P66" i="5"/>
  <c r="O66" i="5"/>
  <c r="N66" i="5"/>
  <c r="M66" i="5"/>
  <c r="L66" i="5"/>
  <c r="K66" i="5"/>
  <c r="J66" i="5"/>
  <c r="H66" i="5"/>
  <c r="R65" i="5"/>
  <c r="Q65" i="5"/>
  <c r="P65" i="5"/>
  <c r="O65" i="5"/>
  <c r="N65" i="5"/>
  <c r="M65" i="5"/>
  <c r="L65" i="5"/>
  <c r="K65" i="5"/>
  <c r="J65" i="5"/>
  <c r="H65" i="5"/>
  <c r="R64" i="5"/>
  <c r="Q64" i="5"/>
  <c r="P64" i="5"/>
  <c r="O64" i="5"/>
  <c r="N64" i="5"/>
  <c r="M64" i="5"/>
  <c r="L64" i="5"/>
  <c r="K64" i="5"/>
  <c r="J64" i="5"/>
  <c r="H64" i="5"/>
  <c r="R63" i="5"/>
  <c r="Q63" i="5"/>
  <c r="P63" i="5"/>
  <c r="O63" i="5"/>
  <c r="N63" i="5"/>
  <c r="M63" i="5"/>
  <c r="L63" i="5"/>
  <c r="K63" i="5"/>
  <c r="J63" i="5"/>
  <c r="H63" i="5"/>
  <c r="R62" i="5"/>
  <c r="Q62" i="5"/>
  <c r="P62" i="5"/>
  <c r="O62" i="5"/>
  <c r="N62" i="5"/>
  <c r="M62" i="5"/>
  <c r="L62" i="5"/>
  <c r="K62" i="5"/>
  <c r="J62" i="5"/>
  <c r="H62" i="5"/>
  <c r="R61" i="5"/>
  <c r="Q61" i="5"/>
  <c r="P61" i="5"/>
  <c r="O61" i="5"/>
  <c r="N61" i="5"/>
  <c r="M61" i="5"/>
  <c r="L61" i="5"/>
  <c r="K61" i="5"/>
  <c r="J61" i="5"/>
  <c r="H61" i="5"/>
  <c r="R60" i="5"/>
  <c r="Q60" i="5"/>
  <c r="P60" i="5"/>
  <c r="O60" i="5"/>
  <c r="N60" i="5"/>
  <c r="M60" i="5"/>
  <c r="L60" i="5"/>
  <c r="K60" i="5"/>
  <c r="J60" i="5"/>
  <c r="H60" i="5"/>
  <c r="R59" i="5"/>
  <c r="Q59" i="5"/>
  <c r="P59" i="5"/>
  <c r="O59" i="5"/>
  <c r="N59" i="5"/>
  <c r="M59" i="5"/>
  <c r="L59" i="5"/>
  <c r="K59" i="5"/>
  <c r="J59" i="5"/>
  <c r="H59" i="5"/>
  <c r="R58" i="5"/>
  <c r="Q58" i="5"/>
  <c r="P58" i="5"/>
  <c r="O58" i="5"/>
  <c r="N58" i="5"/>
  <c r="M58" i="5"/>
  <c r="L58" i="5"/>
  <c r="K58" i="5"/>
  <c r="J58" i="5"/>
  <c r="H58" i="5"/>
  <c r="R57" i="5"/>
  <c r="Q57" i="5"/>
  <c r="P57" i="5"/>
  <c r="O57" i="5"/>
  <c r="N57" i="5"/>
  <c r="M57" i="5"/>
  <c r="L57" i="5"/>
  <c r="K57" i="5"/>
  <c r="J57" i="5"/>
  <c r="H57" i="5"/>
  <c r="R56" i="5"/>
  <c r="Q56" i="5"/>
  <c r="P56" i="5"/>
  <c r="O56" i="5"/>
  <c r="N56" i="5"/>
  <c r="M56" i="5"/>
  <c r="L56" i="5"/>
  <c r="K56" i="5"/>
  <c r="J56" i="5"/>
  <c r="H56" i="5"/>
  <c r="R55" i="5"/>
  <c r="Q55" i="5"/>
  <c r="P55" i="5"/>
  <c r="O55" i="5"/>
  <c r="N55" i="5"/>
  <c r="M55" i="5"/>
  <c r="L55" i="5"/>
  <c r="K55" i="5"/>
  <c r="J55" i="5"/>
  <c r="H55" i="5"/>
  <c r="R54" i="5"/>
  <c r="Q54" i="5"/>
  <c r="P54" i="5"/>
  <c r="O54" i="5"/>
  <c r="N54" i="5"/>
  <c r="M54" i="5"/>
  <c r="L54" i="5"/>
  <c r="K54" i="5"/>
  <c r="J54" i="5"/>
  <c r="H54" i="5"/>
  <c r="R53" i="5"/>
  <c r="Q53" i="5"/>
  <c r="P53" i="5"/>
  <c r="O53" i="5"/>
  <c r="N53" i="5"/>
  <c r="M53" i="5"/>
  <c r="L53" i="5"/>
  <c r="K53" i="5"/>
  <c r="J53" i="5"/>
  <c r="H53" i="5"/>
  <c r="R52" i="5"/>
  <c r="Q52" i="5"/>
  <c r="P52" i="5"/>
  <c r="O52" i="5"/>
  <c r="N52" i="5"/>
  <c r="M52" i="5"/>
  <c r="L52" i="5"/>
  <c r="K52" i="5"/>
  <c r="J52" i="5"/>
  <c r="H52" i="5"/>
  <c r="R51" i="5"/>
  <c r="Q51" i="5"/>
  <c r="P51" i="5"/>
  <c r="O51" i="5"/>
  <c r="N51" i="5"/>
  <c r="M51" i="5"/>
  <c r="L51" i="5"/>
  <c r="K51" i="5"/>
  <c r="J51" i="5"/>
  <c r="H51" i="5"/>
  <c r="R50" i="5"/>
  <c r="Q50" i="5"/>
  <c r="P50" i="5"/>
  <c r="O50" i="5"/>
  <c r="N50" i="5"/>
  <c r="M50" i="5"/>
  <c r="L50" i="5"/>
  <c r="K50" i="5"/>
  <c r="J50" i="5"/>
  <c r="H50" i="5"/>
  <c r="R49" i="5"/>
  <c r="Q49" i="5"/>
  <c r="P49" i="5"/>
  <c r="O49" i="5"/>
  <c r="N49" i="5"/>
  <c r="M49" i="5"/>
  <c r="L49" i="5"/>
  <c r="K49" i="5"/>
  <c r="J49" i="5"/>
  <c r="H49" i="5"/>
  <c r="R48" i="5"/>
  <c r="Q48" i="5"/>
  <c r="P48" i="5"/>
  <c r="O48" i="5"/>
  <c r="N48" i="5"/>
  <c r="M48" i="5"/>
  <c r="L48" i="5"/>
  <c r="K48" i="5"/>
  <c r="J48" i="5"/>
  <c r="H48" i="5"/>
  <c r="R47" i="5"/>
  <c r="Q47" i="5"/>
  <c r="P47" i="5"/>
  <c r="O47" i="5"/>
  <c r="N47" i="5"/>
  <c r="M47" i="5"/>
  <c r="L47" i="5"/>
  <c r="K47" i="5"/>
  <c r="J47" i="5"/>
  <c r="H47" i="5"/>
  <c r="R46" i="5"/>
  <c r="Q46" i="5"/>
  <c r="P46" i="5"/>
  <c r="O46" i="5"/>
  <c r="N46" i="5"/>
  <c r="M46" i="5"/>
  <c r="L46" i="5"/>
  <c r="K46" i="5"/>
  <c r="J46" i="5"/>
  <c r="H46" i="5"/>
  <c r="R45" i="5"/>
  <c r="Q45" i="5"/>
  <c r="P45" i="5"/>
  <c r="O45" i="5"/>
  <c r="N45" i="5"/>
  <c r="M45" i="5"/>
  <c r="L45" i="5"/>
  <c r="K45" i="5"/>
  <c r="J45" i="5"/>
  <c r="H45" i="5"/>
  <c r="R44" i="5"/>
  <c r="Q44" i="5"/>
  <c r="P44" i="5"/>
  <c r="O44" i="5"/>
  <c r="N44" i="5"/>
  <c r="M44" i="5"/>
  <c r="L44" i="5"/>
  <c r="K44" i="5"/>
  <c r="J44" i="5"/>
  <c r="H44" i="5"/>
  <c r="R43" i="5"/>
  <c r="Q43" i="5"/>
  <c r="P43" i="5"/>
  <c r="O43" i="5"/>
  <c r="N43" i="5"/>
  <c r="M43" i="5"/>
  <c r="L43" i="5"/>
  <c r="K43" i="5"/>
  <c r="J43" i="5"/>
  <c r="H43" i="5"/>
  <c r="R42" i="5"/>
  <c r="Q42" i="5"/>
  <c r="P42" i="5"/>
  <c r="O42" i="5"/>
  <c r="N42" i="5"/>
  <c r="M42" i="5"/>
  <c r="L42" i="5"/>
  <c r="K42" i="5"/>
  <c r="J42" i="5"/>
  <c r="H42" i="5"/>
  <c r="R41" i="5"/>
  <c r="Q41" i="5"/>
  <c r="P41" i="5"/>
  <c r="O41" i="5"/>
  <c r="N41" i="5"/>
  <c r="M41" i="5"/>
  <c r="L41" i="5"/>
  <c r="K41" i="5"/>
  <c r="J41" i="5"/>
  <c r="H41" i="5"/>
  <c r="R40" i="5"/>
  <c r="Q40" i="5"/>
  <c r="P40" i="5"/>
  <c r="O40" i="5"/>
  <c r="N40" i="5"/>
  <c r="M40" i="5"/>
  <c r="L40" i="5"/>
  <c r="K40" i="5"/>
  <c r="J40" i="5"/>
  <c r="H40" i="5"/>
  <c r="R39" i="5"/>
  <c r="Q39" i="5"/>
  <c r="P39" i="5"/>
  <c r="O39" i="5"/>
  <c r="N39" i="5"/>
  <c r="M39" i="5"/>
  <c r="L39" i="5"/>
  <c r="K39" i="5"/>
  <c r="J39" i="5"/>
  <c r="H39" i="5"/>
  <c r="R38" i="5"/>
  <c r="Q38" i="5"/>
  <c r="P38" i="5"/>
  <c r="O38" i="5"/>
  <c r="N38" i="5"/>
  <c r="M38" i="5"/>
  <c r="L38" i="5"/>
  <c r="K38" i="5"/>
  <c r="J38" i="5"/>
  <c r="H38" i="5"/>
  <c r="R37" i="5"/>
  <c r="Q37" i="5"/>
  <c r="P37" i="5"/>
  <c r="O37" i="5"/>
  <c r="N37" i="5"/>
  <c r="M37" i="5"/>
  <c r="L37" i="5"/>
  <c r="K37" i="5"/>
  <c r="J37" i="5"/>
  <c r="H37" i="5"/>
  <c r="R36" i="5"/>
  <c r="Q36" i="5"/>
  <c r="P36" i="5"/>
  <c r="O36" i="5"/>
  <c r="N36" i="5"/>
  <c r="M36" i="5"/>
  <c r="L36" i="5"/>
  <c r="K36" i="5"/>
  <c r="J36" i="5"/>
  <c r="H36" i="5"/>
  <c r="R35" i="5"/>
  <c r="Q35" i="5"/>
  <c r="P35" i="5"/>
  <c r="O35" i="5"/>
  <c r="N35" i="5"/>
  <c r="M35" i="5"/>
  <c r="L35" i="5"/>
  <c r="K35" i="5"/>
  <c r="J35" i="5"/>
  <c r="H35" i="5"/>
  <c r="R34" i="5"/>
  <c r="Q34" i="5"/>
  <c r="P34" i="5"/>
  <c r="O34" i="5"/>
  <c r="N34" i="5"/>
  <c r="M34" i="5"/>
  <c r="L34" i="5"/>
  <c r="K34" i="5"/>
  <c r="J34" i="5"/>
  <c r="H34" i="5"/>
  <c r="R33" i="5"/>
  <c r="Q33" i="5"/>
  <c r="P33" i="5"/>
  <c r="O33" i="5"/>
  <c r="N33" i="5"/>
  <c r="M33" i="5"/>
  <c r="L33" i="5"/>
  <c r="K33" i="5"/>
  <c r="J33" i="5"/>
  <c r="H33" i="5"/>
  <c r="R32" i="5"/>
  <c r="Q32" i="5"/>
  <c r="P32" i="5"/>
  <c r="O32" i="5"/>
  <c r="N32" i="5"/>
  <c r="M32" i="5"/>
  <c r="L32" i="5"/>
  <c r="K32" i="5"/>
  <c r="J32" i="5"/>
  <c r="H32" i="5"/>
  <c r="R31" i="5"/>
  <c r="Q31" i="5"/>
  <c r="P31" i="5"/>
  <c r="O31" i="5"/>
  <c r="N31" i="5"/>
  <c r="M31" i="5"/>
  <c r="L31" i="5"/>
  <c r="K31" i="5"/>
  <c r="J31" i="5"/>
  <c r="H31" i="5"/>
  <c r="R30" i="5"/>
  <c r="Q30" i="5"/>
  <c r="P30" i="5"/>
  <c r="O30" i="5"/>
  <c r="N30" i="5"/>
  <c r="M30" i="5"/>
  <c r="L30" i="5"/>
  <c r="K30" i="5"/>
  <c r="J30" i="5"/>
  <c r="H30" i="5"/>
  <c r="R29" i="5"/>
  <c r="Q29" i="5"/>
  <c r="P29" i="5"/>
  <c r="O29" i="5"/>
  <c r="N29" i="5"/>
  <c r="M29" i="5"/>
  <c r="L29" i="5"/>
  <c r="K29" i="5"/>
  <c r="J29" i="5"/>
  <c r="H29" i="5"/>
  <c r="R28" i="5"/>
  <c r="Q28" i="5"/>
  <c r="P28" i="5"/>
  <c r="O28" i="5"/>
  <c r="N28" i="5"/>
  <c r="M28" i="5"/>
  <c r="L28" i="5"/>
  <c r="K28" i="5"/>
  <c r="J28" i="5"/>
  <c r="H28" i="5"/>
  <c r="R27" i="5"/>
  <c r="Q27" i="5"/>
  <c r="P27" i="5"/>
  <c r="O27" i="5"/>
  <c r="N27" i="5"/>
  <c r="M27" i="5"/>
  <c r="L27" i="5"/>
  <c r="K27" i="5"/>
  <c r="J27" i="5"/>
  <c r="H27" i="5"/>
  <c r="R26" i="5"/>
  <c r="Q26" i="5"/>
  <c r="P26" i="5"/>
  <c r="O26" i="5"/>
  <c r="N26" i="5"/>
  <c r="M26" i="5"/>
  <c r="L26" i="5"/>
  <c r="K26" i="5"/>
  <c r="J26" i="5"/>
  <c r="H26" i="5"/>
  <c r="R25" i="5"/>
  <c r="Q25" i="5"/>
  <c r="P25" i="5"/>
  <c r="O25" i="5"/>
  <c r="N25" i="5"/>
  <c r="M25" i="5"/>
  <c r="L25" i="5"/>
  <c r="K25" i="5"/>
  <c r="J25" i="5"/>
  <c r="H25" i="5"/>
  <c r="R24" i="5"/>
  <c r="Q24" i="5"/>
  <c r="P24" i="5"/>
  <c r="O24" i="5"/>
  <c r="N24" i="5"/>
  <c r="M24" i="5"/>
  <c r="L24" i="5"/>
  <c r="K24" i="5"/>
  <c r="J24" i="5"/>
  <c r="H24" i="5"/>
  <c r="R23" i="5"/>
  <c r="Q23" i="5"/>
  <c r="P23" i="5"/>
  <c r="O23" i="5"/>
  <c r="N23" i="5"/>
  <c r="M23" i="5"/>
  <c r="L23" i="5"/>
  <c r="K23" i="5"/>
  <c r="J23" i="5"/>
  <c r="H23" i="5"/>
  <c r="R22" i="5"/>
  <c r="Q22" i="5"/>
  <c r="P22" i="5"/>
  <c r="O22" i="5"/>
  <c r="N22" i="5"/>
  <c r="M22" i="5"/>
  <c r="L22" i="5"/>
  <c r="K22" i="5"/>
  <c r="J22" i="5"/>
  <c r="H22" i="5"/>
  <c r="R21" i="5"/>
  <c r="Q21" i="5"/>
  <c r="P21" i="5"/>
  <c r="O21" i="5"/>
  <c r="N21" i="5"/>
  <c r="M21" i="5"/>
  <c r="L21" i="5"/>
  <c r="K21" i="5"/>
  <c r="J21" i="5"/>
  <c r="H21" i="5"/>
  <c r="R20" i="5"/>
  <c r="Q20" i="5"/>
  <c r="P20" i="5"/>
  <c r="O20" i="5"/>
  <c r="N20" i="5"/>
  <c r="M20" i="5"/>
  <c r="L20" i="5"/>
  <c r="K20" i="5"/>
  <c r="J20" i="5"/>
  <c r="H20" i="5"/>
  <c r="R19" i="5"/>
  <c r="Q19" i="5"/>
  <c r="P19" i="5"/>
  <c r="O19" i="5"/>
  <c r="N19" i="5"/>
  <c r="M19" i="5"/>
  <c r="L19" i="5"/>
  <c r="K19" i="5"/>
  <c r="J19" i="5"/>
  <c r="H19" i="5"/>
  <c r="R18" i="5"/>
  <c r="Q18" i="5"/>
  <c r="P18" i="5"/>
  <c r="O18" i="5"/>
  <c r="N18" i="5"/>
  <c r="M18" i="5"/>
  <c r="L18" i="5"/>
  <c r="K18" i="5"/>
  <c r="J18" i="5"/>
  <c r="H18" i="5"/>
  <c r="R17" i="5"/>
  <c r="Q17" i="5"/>
  <c r="P17" i="5"/>
  <c r="O17" i="5"/>
  <c r="N17" i="5"/>
  <c r="M17" i="5"/>
  <c r="L17" i="5"/>
  <c r="K17" i="5"/>
  <c r="J17" i="5"/>
  <c r="H17" i="5"/>
  <c r="R16" i="5"/>
  <c r="Q16" i="5"/>
  <c r="P16" i="5"/>
  <c r="O16" i="5"/>
  <c r="N16" i="5"/>
  <c r="M16" i="5"/>
  <c r="L16" i="5"/>
  <c r="K16" i="5"/>
  <c r="J16" i="5"/>
  <c r="H16" i="5"/>
  <c r="R15" i="5"/>
  <c r="Q15" i="5"/>
  <c r="P15" i="5"/>
  <c r="O15" i="5"/>
  <c r="N15" i="5"/>
  <c r="M15" i="5"/>
  <c r="L15" i="5"/>
  <c r="K15" i="5"/>
  <c r="J15" i="5"/>
  <c r="H15" i="5"/>
  <c r="R14" i="5"/>
  <c r="Q14" i="5"/>
  <c r="P14" i="5"/>
  <c r="O14" i="5"/>
  <c r="N14" i="5"/>
  <c r="M14" i="5"/>
  <c r="L14" i="5"/>
  <c r="K14" i="5"/>
  <c r="J14" i="5"/>
  <c r="H14" i="5"/>
  <c r="R13" i="5"/>
  <c r="Q13" i="5"/>
  <c r="P13" i="5"/>
  <c r="O13" i="5"/>
  <c r="N13" i="5"/>
  <c r="M13" i="5"/>
  <c r="L13" i="5"/>
  <c r="K13" i="5"/>
  <c r="J13" i="5"/>
  <c r="H13" i="5"/>
  <c r="R12" i="5"/>
  <c r="Q12" i="5"/>
  <c r="P12" i="5"/>
  <c r="O12" i="5"/>
  <c r="N12" i="5"/>
  <c r="M12" i="5"/>
  <c r="L12" i="5"/>
  <c r="K12" i="5"/>
  <c r="J12" i="5"/>
  <c r="H12" i="5"/>
  <c r="Y11" i="5"/>
  <c r="R11" i="5"/>
  <c r="Q11" i="5"/>
  <c r="P11" i="5"/>
  <c r="O11" i="5"/>
  <c r="N11" i="5"/>
  <c r="M11" i="5"/>
  <c r="L11" i="5"/>
  <c r="K11" i="5"/>
  <c r="J11" i="5"/>
  <c r="H11" i="5"/>
  <c r="R10" i="5"/>
  <c r="Q10" i="5"/>
  <c r="P10" i="5"/>
  <c r="O10" i="5"/>
  <c r="N10" i="5"/>
  <c r="M10" i="5"/>
  <c r="L10" i="5"/>
  <c r="K10" i="5"/>
  <c r="J10" i="5"/>
  <c r="H10" i="5"/>
  <c r="R9" i="5"/>
  <c r="Q9" i="5"/>
  <c r="P9" i="5"/>
  <c r="O9" i="5"/>
  <c r="N9" i="5"/>
  <c r="M9" i="5"/>
  <c r="L9" i="5"/>
  <c r="K9" i="5"/>
  <c r="J9" i="5"/>
  <c r="H9" i="5"/>
  <c r="Y8" i="5"/>
  <c r="R8" i="5"/>
  <c r="Q8" i="5"/>
  <c r="P8" i="5"/>
  <c r="O8" i="5"/>
  <c r="N8" i="5"/>
  <c r="M8" i="5"/>
  <c r="L8" i="5"/>
  <c r="K8" i="5"/>
  <c r="J8" i="5"/>
  <c r="H8" i="5"/>
  <c r="Y7" i="5"/>
  <c r="R7" i="5"/>
  <c r="Q7" i="5"/>
  <c r="P7" i="5"/>
  <c r="O7" i="5"/>
  <c r="N7" i="5"/>
  <c r="M7" i="5"/>
  <c r="L7" i="5"/>
  <c r="K7" i="5"/>
  <c r="J7" i="5"/>
  <c r="H7" i="5"/>
  <c r="R6" i="5"/>
  <c r="Q6" i="5"/>
  <c r="P6" i="5"/>
  <c r="O6" i="5"/>
  <c r="N6" i="5"/>
  <c r="M6" i="5"/>
  <c r="L6" i="5"/>
  <c r="K6" i="5"/>
  <c r="J6" i="5"/>
  <c r="H6" i="5"/>
  <c r="R5" i="5"/>
  <c r="Q5" i="5"/>
  <c r="P5" i="5"/>
  <c r="O5" i="5"/>
  <c r="N5" i="5"/>
  <c r="M5" i="5"/>
  <c r="L5" i="5"/>
  <c r="K5" i="5"/>
  <c r="J5" i="5"/>
  <c r="H5" i="5"/>
  <c r="Y4" i="5"/>
  <c r="R4" i="5"/>
  <c r="Q4" i="5"/>
  <c r="P4" i="5"/>
  <c r="O4" i="5"/>
  <c r="N4" i="5"/>
  <c r="M4" i="5"/>
  <c r="L4" i="5"/>
  <c r="K4" i="5"/>
  <c r="J4" i="5"/>
  <c r="H4" i="5"/>
  <c r="AI3" i="5"/>
  <c r="AB3" i="5"/>
  <c r="AA3" i="5"/>
  <c r="Y3" i="5"/>
  <c r="R3" i="5"/>
  <c r="Q3" i="5"/>
  <c r="P3" i="5"/>
  <c r="O3" i="5"/>
  <c r="N3" i="5"/>
  <c r="M3" i="5"/>
  <c r="AD3" i="5" s="1"/>
  <c r="L3" i="5"/>
  <c r="AC3" i="5" s="1"/>
  <c r="K3" i="5"/>
  <c r="J3" i="5"/>
  <c r="H3" i="5"/>
  <c r="R2" i="5"/>
  <c r="Q2" i="5"/>
  <c r="AH3" i="5" s="1"/>
  <c r="P2" i="5"/>
  <c r="AG3" i="5" s="1"/>
  <c r="O2" i="5"/>
  <c r="AF3" i="5" s="1"/>
  <c r="N2" i="5"/>
  <c r="AE3" i="5" s="1"/>
  <c r="M2" i="5"/>
  <c r="L2" i="5"/>
  <c r="K2" i="5"/>
  <c r="J2" i="5"/>
  <c r="H2" i="5"/>
  <c r="H146" i="5" s="1"/>
  <c r="Y11" i="4"/>
  <c r="G21" i="6" s="1"/>
  <c r="B2" i="6" l="1"/>
  <c r="D18" i="6"/>
  <c r="Y14" i="8"/>
  <c r="H144" i="5"/>
  <c r="Y14" i="5"/>
  <c r="Y4" i="4" l="1"/>
  <c r="G18" i="6" s="1"/>
  <c r="Y8" i="4"/>
  <c r="D23" i="6" s="1"/>
  <c r="Y7" i="4"/>
  <c r="R141" i="4"/>
  <c r="Q141" i="4"/>
  <c r="P141" i="4"/>
  <c r="O141" i="4"/>
  <c r="N141" i="4"/>
  <c r="M141" i="4"/>
  <c r="L141" i="4"/>
  <c r="K141" i="4"/>
  <c r="J141" i="4"/>
  <c r="H141" i="4"/>
  <c r="R140" i="4"/>
  <c r="Q140" i="4"/>
  <c r="P140" i="4"/>
  <c r="O140" i="4"/>
  <c r="N140" i="4"/>
  <c r="M140" i="4"/>
  <c r="L140" i="4"/>
  <c r="K140" i="4"/>
  <c r="J140" i="4"/>
  <c r="H140" i="4"/>
  <c r="R139" i="4"/>
  <c r="Q139" i="4"/>
  <c r="P139" i="4"/>
  <c r="O139" i="4"/>
  <c r="N139" i="4"/>
  <c r="M139" i="4"/>
  <c r="L139" i="4"/>
  <c r="K139" i="4"/>
  <c r="J139" i="4"/>
  <c r="H139" i="4"/>
  <c r="R138" i="4"/>
  <c r="Q138" i="4"/>
  <c r="P138" i="4"/>
  <c r="O138" i="4"/>
  <c r="N138" i="4"/>
  <c r="M138" i="4"/>
  <c r="L138" i="4"/>
  <c r="K138" i="4"/>
  <c r="J138" i="4"/>
  <c r="H138" i="4"/>
  <c r="R137" i="4"/>
  <c r="Q137" i="4"/>
  <c r="P137" i="4"/>
  <c r="O137" i="4"/>
  <c r="N137" i="4"/>
  <c r="M137" i="4"/>
  <c r="L137" i="4"/>
  <c r="K137" i="4"/>
  <c r="J137" i="4"/>
  <c r="H137" i="4"/>
  <c r="R136" i="4"/>
  <c r="Q136" i="4"/>
  <c r="P136" i="4"/>
  <c r="O136" i="4"/>
  <c r="N136" i="4"/>
  <c r="M136" i="4"/>
  <c r="L136" i="4"/>
  <c r="K136" i="4"/>
  <c r="J136" i="4"/>
  <c r="H136" i="4"/>
  <c r="R135" i="4"/>
  <c r="Q135" i="4"/>
  <c r="P135" i="4"/>
  <c r="O135" i="4"/>
  <c r="N135" i="4"/>
  <c r="M135" i="4"/>
  <c r="L135" i="4"/>
  <c r="K135" i="4"/>
  <c r="J135" i="4"/>
  <c r="H135" i="4"/>
  <c r="R134" i="4"/>
  <c r="Q134" i="4"/>
  <c r="P134" i="4"/>
  <c r="O134" i="4"/>
  <c r="N134" i="4"/>
  <c r="M134" i="4"/>
  <c r="L134" i="4"/>
  <c r="K134" i="4"/>
  <c r="J134" i="4"/>
  <c r="H134" i="4"/>
  <c r="R133" i="4"/>
  <c r="Q133" i="4"/>
  <c r="P133" i="4"/>
  <c r="O133" i="4"/>
  <c r="N133" i="4"/>
  <c r="M133" i="4"/>
  <c r="L133" i="4"/>
  <c r="K133" i="4"/>
  <c r="J133" i="4"/>
  <c r="H133" i="4"/>
  <c r="R132" i="4"/>
  <c r="Q132" i="4"/>
  <c r="P132" i="4"/>
  <c r="O132" i="4"/>
  <c r="N132" i="4"/>
  <c r="M132" i="4"/>
  <c r="L132" i="4"/>
  <c r="K132" i="4"/>
  <c r="J132" i="4"/>
  <c r="H132" i="4"/>
  <c r="R131" i="4"/>
  <c r="Q131" i="4"/>
  <c r="P131" i="4"/>
  <c r="O131" i="4"/>
  <c r="N131" i="4"/>
  <c r="M131" i="4"/>
  <c r="L131" i="4"/>
  <c r="K131" i="4"/>
  <c r="J131" i="4"/>
  <c r="H131" i="4"/>
  <c r="R130" i="4"/>
  <c r="Q130" i="4"/>
  <c r="P130" i="4"/>
  <c r="O130" i="4"/>
  <c r="N130" i="4"/>
  <c r="M130" i="4"/>
  <c r="L130" i="4"/>
  <c r="K130" i="4"/>
  <c r="J130" i="4"/>
  <c r="H130" i="4"/>
  <c r="R129" i="4"/>
  <c r="Q129" i="4"/>
  <c r="P129" i="4"/>
  <c r="O129" i="4"/>
  <c r="N129" i="4"/>
  <c r="M129" i="4"/>
  <c r="L129" i="4"/>
  <c r="K129" i="4"/>
  <c r="J129" i="4"/>
  <c r="H129" i="4"/>
  <c r="R128" i="4"/>
  <c r="Q128" i="4"/>
  <c r="P128" i="4"/>
  <c r="O128" i="4"/>
  <c r="N128" i="4"/>
  <c r="M128" i="4"/>
  <c r="L128" i="4"/>
  <c r="K128" i="4"/>
  <c r="J128" i="4"/>
  <c r="H128" i="4"/>
  <c r="R127" i="4"/>
  <c r="Q127" i="4"/>
  <c r="P127" i="4"/>
  <c r="O127" i="4"/>
  <c r="N127" i="4"/>
  <c r="M127" i="4"/>
  <c r="L127" i="4"/>
  <c r="K127" i="4"/>
  <c r="J127" i="4"/>
  <c r="H127" i="4"/>
  <c r="R126" i="4"/>
  <c r="Q126" i="4"/>
  <c r="P126" i="4"/>
  <c r="O126" i="4"/>
  <c r="N126" i="4"/>
  <c r="M126" i="4"/>
  <c r="L126" i="4"/>
  <c r="K126" i="4"/>
  <c r="J126" i="4"/>
  <c r="H126" i="4"/>
  <c r="R125" i="4"/>
  <c r="Q125" i="4"/>
  <c r="P125" i="4"/>
  <c r="O125" i="4"/>
  <c r="N125" i="4"/>
  <c r="M125" i="4"/>
  <c r="L125" i="4"/>
  <c r="K125" i="4"/>
  <c r="J125" i="4"/>
  <c r="H125" i="4"/>
  <c r="R124" i="4"/>
  <c r="Q124" i="4"/>
  <c r="P124" i="4"/>
  <c r="O124" i="4"/>
  <c r="N124" i="4"/>
  <c r="M124" i="4"/>
  <c r="L124" i="4"/>
  <c r="K124" i="4"/>
  <c r="J124" i="4"/>
  <c r="H124" i="4"/>
  <c r="R123" i="4"/>
  <c r="Q123" i="4"/>
  <c r="P123" i="4"/>
  <c r="O123" i="4"/>
  <c r="N123" i="4"/>
  <c r="M123" i="4"/>
  <c r="L123" i="4"/>
  <c r="K123" i="4"/>
  <c r="J123" i="4"/>
  <c r="H123" i="4"/>
  <c r="R122" i="4"/>
  <c r="Q122" i="4"/>
  <c r="P122" i="4"/>
  <c r="O122" i="4"/>
  <c r="N122" i="4"/>
  <c r="M122" i="4"/>
  <c r="L122" i="4"/>
  <c r="K122" i="4"/>
  <c r="J122" i="4"/>
  <c r="H122" i="4"/>
  <c r="R121" i="4"/>
  <c r="Q121" i="4"/>
  <c r="P121" i="4"/>
  <c r="O121" i="4"/>
  <c r="N121" i="4"/>
  <c r="M121" i="4"/>
  <c r="L121" i="4"/>
  <c r="K121" i="4"/>
  <c r="J121" i="4"/>
  <c r="H121" i="4"/>
  <c r="R120" i="4"/>
  <c r="Q120" i="4"/>
  <c r="P120" i="4"/>
  <c r="O120" i="4"/>
  <c r="N120" i="4"/>
  <c r="M120" i="4"/>
  <c r="L120" i="4"/>
  <c r="K120" i="4"/>
  <c r="J120" i="4"/>
  <c r="H120" i="4"/>
  <c r="R119" i="4"/>
  <c r="Q119" i="4"/>
  <c r="P119" i="4"/>
  <c r="O119" i="4"/>
  <c r="N119" i="4"/>
  <c r="M119" i="4"/>
  <c r="L119" i="4"/>
  <c r="K119" i="4"/>
  <c r="J119" i="4"/>
  <c r="H119" i="4"/>
  <c r="R118" i="4"/>
  <c r="Q118" i="4"/>
  <c r="P118" i="4"/>
  <c r="O118" i="4"/>
  <c r="N118" i="4"/>
  <c r="M118" i="4"/>
  <c r="L118" i="4"/>
  <c r="K118" i="4"/>
  <c r="J118" i="4"/>
  <c r="H118" i="4"/>
  <c r="R117" i="4"/>
  <c r="Q117" i="4"/>
  <c r="P117" i="4"/>
  <c r="O117" i="4"/>
  <c r="N117" i="4"/>
  <c r="M117" i="4"/>
  <c r="L117" i="4"/>
  <c r="K117" i="4"/>
  <c r="J117" i="4"/>
  <c r="H117" i="4"/>
  <c r="R116" i="4"/>
  <c r="Q116" i="4"/>
  <c r="P116" i="4"/>
  <c r="O116" i="4"/>
  <c r="N116" i="4"/>
  <c r="M116" i="4"/>
  <c r="L116" i="4"/>
  <c r="K116" i="4"/>
  <c r="J116" i="4"/>
  <c r="H116" i="4"/>
  <c r="R115" i="4"/>
  <c r="Q115" i="4"/>
  <c r="P115" i="4"/>
  <c r="O115" i="4"/>
  <c r="N115" i="4"/>
  <c r="M115" i="4"/>
  <c r="L115" i="4"/>
  <c r="K115" i="4"/>
  <c r="J115" i="4"/>
  <c r="H115" i="4"/>
  <c r="R114" i="4"/>
  <c r="Q114" i="4"/>
  <c r="P114" i="4"/>
  <c r="O114" i="4"/>
  <c r="N114" i="4"/>
  <c r="M114" i="4"/>
  <c r="L114" i="4"/>
  <c r="K114" i="4"/>
  <c r="J114" i="4"/>
  <c r="H114" i="4"/>
  <c r="R113" i="4"/>
  <c r="Q113" i="4"/>
  <c r="P113" i="4"/>
  <c r="O113" i="4"/>
  <c r="N113" i="4"/>
  <c r="M113" i="4"/>
  <c r="L113" i="4"/>
  <c r="K113" i="4"/>
  <c r="J113" i="4"/>
  <c r="H113" i="4"/>
  <c r="R112" i="4"/>
  <c r="Q112" i="4"/>
  <c r="P112" i="4"/>
  <c r="O112" i="4"/>
  <c r="N112" i="4"/>
  <c r="M112" i="4"/>
  <c r="L112" i="4"/>
  <c r="K112" i="4"/>
  <c r="J112" i="4"/>
  <c r="H112" i="4"/>
  <c r="R111" i="4"/>
  <c r="Q111" i="4"/>
  <c r="P111" i="4"/>
  <c r="O111" i="4"/>
  <c r="N111" i="4"/>
  <c r="M111" i="4"/>
  <c r="L111" i="4"/>
  <c r="K111" i="4"/>
  <c r="J111" i="4"/>
  <c r="H111" i="4"/>
  <c r="R110" i="4"/>
  <c r="Q110" i="4"/>
  <c r="P110" i="4"/>
  <c r="O110" i="4"/>
  <c r="N110" i="4"/>
  <c r="M110" i="4"/>
  <c r="L110" i="4"/>
  <c r="K110" i="4"/>
  <c r="J110" i="4"/>
  <c r="H110" i="4"/>
  <c r="R109" i="4"/>
  <c r="Q109" i="4"/>
  <c r="P109" i="4"/>
  <c r="O109" i="4"/>
  <c r="N109" i="4"/>
  <c r="M109" i="4"/>
  <c r="L109" i="4"/>
  <c r="K109" i="4"/>
  <c r="J109" i="4"/>
  <c r="H109" i="4"/>
  <c r="R108" i="4"/>
  <c r="Q108" i="4"/>
  <c r="P108" i="4"/>
  <c r="O108" i="4"/>
  <c r="N108" i="4"/>
  <c r="M108" i="4"/>
  <c r="L108" i="4"/>
  <c r="K108" i="4"/>
  <c r="J108" i="4"/>
  <c r="H108" i="4"/>
  <c r="R107" i="4"/>
  <c r="Q107" i="4"/>
  <c r="P107" i="4"/>
  <c r="O107" i="4"/>
  <c r="N107" i="4"/>
  <c r="M107" i="4"/>
  <c r="L107" i="4"/>
  <c r="K107" i="4"/>
  <c r="J107" i="4"/>
  <c r="H107" i="4"/>
  <c r="R106" i="4"/>
  <c r="Q106" i="4"/>
  <c r="P106" i="4"/>
  <c r="O106" i="4"/>
  <c r="N106" i="4"/>
  <c r="M106" i="4"/>
  <c r="L106" i="4"/>
  <c r="K106" i="4"/>
  <c r="J106" i="4"/>
  <c r="H106" i="4"/>
  <c r="R105" i="4"/>
  <c r="Q105" i="4"/>
  <c r="P105" i="4"/>
  <c r="O105" i="4"/>
  <c r="N105" i="4"/>
  <c r="M105" i="4"/>
  <c r="L105" i="4"/>
  <c r="K105" i="4"/>
  <c r="J105" i="4"/>
  <c r="H105" i="4"/>
  <c r="R104" i="4"/>
  <c r="Q104" i="4"/>
  <c r="P104" i="4"/>
  <c r="O104" i="4"/>
  <c r="N104" i="4"/>
  <c r="M104" i="4"/>
  <c r="L104" i="4"/>
  <c r="K104" i="4"/>
  <c r="J104" i="4"/>
  <c r="H104" i="4"/>
  <c r="R103" i="4"/>
  <c r="Q103" i="4"/>
  <c r="P103" i="4"/>
  <c r="O103" i="4"/>
  <c r="N103" i="4"/>
  <c r="M103" i="4"/>
  <c r="L103" i="4"/>
  <c r="K103" i="4"/>
  <c r="J103" i="4"/>
  <c r="H103" i="4"/>
  <c r="R102" i="4"/>
  <c r="Q102" i="4"/>
  <c r="P102" i="4"/>
  <c r="O102" i="4"/>
  <c r="N102" i="4"/>
  <c r="M102" i="4"/>
  <c r="L102" i="4"/>
  <c r="K102" i="4"/>
  <c r="J102" i="4"/>
  <c r="H102" i="4"/>
  <c r="R101" i="4"/>
  <c r="Q101" i="4"/>
  <c r="P101" i="4"/>
  <c r="O101" i="4"/>
  <c r="N101" i="4"/>
  <c r="M101" i="4"/>
  <c r="L101" i="4"/>
  <c r="K101" i="4"/>
  <c r="J101" i="4"/>
  <c r="H101" i="4"/>
  <c r="R100" i="4"/>
  <c r="Q100" i="4"/>
  <c r="P100" i="4"/>
  <c r="O100" i="4"/>
  <c r="N100" i="4"/>
  <c r="M100" i="4"/>
  <c r="L100" i="4"/>
  <c r="K100" i="4"/>
  <c r="J100" i="4"/>
  <c r="H100" i="4"/>
  <c r="R99" i="4"/>
  <c r="Q99" i="4"/>
  <c r="P99" i="4"/>
  <c r="O99" i="4"/>
  <c r="N99" i="4"/>
  <c r="M99" i="4"/>
  <c r="L99" i="4"/>
  <c r="K99" i="4"/>
  <c r="J99" i="4"/>
  <c r="H99" i="4"/>
  <c r="R98" i="4"/>
  <c r="Q98" i="4"/>
  <c r="P98" i="4"/>
  <c r="O98" i="4"/>
  <c r="N98" i="4"/>
  <c r="M98" i="4"/>
  <c r="L98" i="4"/>
  <c r="K98" i="4"/>
  <c r="J98" i="4"/>
  <c r="H98" i="4"/>
  <c r="R97" i="4"/>
  <c r="Q97" i="4"/>
  <c r="P97" i="4"/>
  <c r="O97" i="4"/>
  <c r="N97" i="4"/>
  <c r="M97" i="4"/>
  <c r="L97" i="4"/>
  <c r="K97" i="4"/>
  <c r="J97" i="4"/>
  <c r="H97" i="4"/>
  <c r="R96" i="4"/>
  <c r="Q96" i="4"/>
  <c r="P96" i="4"/>
  <c r="O96" i="4"/>
  <c r="N96" i="4"/>
  <c r="M96" i="4"/>
  <c r="L96" i="4"/>
  <c r="K96" i="4"/>
  <c r="J96" i="4"/>
  <c r="H96" i="4"/>
  <c r="R95" i="4"/>
  <c r="Q95" i="4"/>
  <c r="P95" i="4"/>
  <c r="O95" i="4"/>
  <c r="N95" i="4"/>
  <c r="M95" i="4"/>
  <c r="L95" i="4"/>
  <c r="K95" i="4"/>
  <c r="J95" i="4"/>
  <c r="H95" i="4"/>
  <c r="R94" i="4"/>
  <c r="Q94" i="4"/>
  <c r="P94" i="4"/>
  <c r="O94" i="4"/>
  <c r="N94" i="4"/>
  <c r="M94" i="4"/>
  <c r="L94" i="4"/>
  <c r="K94" i="4"/>
  <c r="J94" i="4"/>
  <c r="H94" i="4"/>
  <c r="R93" i="4"/>
  <c r="Q93" i="4"/>
  <c r="P93" i="4"/>
  <c r="O93" i="4"/>
  <c r="N93" i="4"/>
  <c r="M93" i="4"/>
  <c r="L93" i="4"/>
  <c r="K93" i="4"/>
  <c r="J93" i="4"/>
  <c r="H93" i="4"/>
  <c r="R92" i="4"/>
  <c r="Q92" i="4"/>
  <c r="P92" i="4"/>
  <c r="O92" i="4"/>
  <c r="N92" i="4"/>
  <c r="M92" i="4"/>
  <c r="L92" i="4"/>
  <c r="K92" i="4"/>
  <c r="J92" i="4"/>
  <c r="H92" i="4"/>
  <c r="R91" i="4"/>
  <c r="Q91" i="4"/>
  <c r="P91" i="4"/>
  <c r="O91" i="4"/>
  <c r="N91" i="4"/>
  <c r="M91" i="4"/>
  <c r="L91" i="4"/>
  <c r="K91" i="4"/>
  <c r="J91" i="4"/>
  <c r="H91" i="4"/>
  <c r="R90" i="4"/>
  <c r="Q90" i="4"/>
  <c r="P90" i="4"/>
  <c r="O90" i="4"/>
  <c r="N90" i="4"/>
  <c r="M90" i="4"/>
  <c r="L90" i="4"/>
  <c r="K90" i="4"/>
  <c r="J90" i="4"/>
  <c r="H90" i="4"/>
  <c r="R89" i="4"/>
  <c r="Q89" i="4"/>
  <c r="P89" i="4"/>
  <c r="O89" i="4"/>
  <c r="N89" i="4"/>
  <c r="M89" i="4"/>
  <c r="L89" i="4"/>
  <c r="K89" i="4"/>
  <c r="J89" i="4"/>
  <c r="H89" i="4"/>
  <c r="R88" i="4"/>
  <c r="Q88" i="4"/>
  <c r="P88" i="4"/>
  <c r="O88" i="4"/>
  <c r="N88" i="4"/>
  <c r="M88" i="4"/>
  <c r="L88" i="4"/>
  <c r="K88" i="4"/>
  <c r="J88" i="4"/>
  <c r="H88" i="4"/>
  <c r="R87" i="4"/>
  <c r="Q87" i="4"/>
  <c r="P87" i="4"/>
  <c r="O87" i="4"/>
  <c r="N87" i="4"/>
  <c r="M87" i="4"/>
  <c r="L87" i="4"/>
  <c r="K87" i="4"/>
  <c r="J87" i="4"/>
  <c r="H87" i="4"/>
  <c r="R86" i="4"/>
  <c r="Q86" i="4"/>
  <c r="P86" i="4"/>
  <c r="O86" i="4"/>
  <c r="N86" i="4"/>
  <c r="M86" i="4"/>
  <c r="L86" i="4"/>
  <c r="K86" i="4"/>
  <c r="J86" i="4"/>
  <c r="H86" i="4"/>
  <c r="R85" i="4"/>
  <c r="Q85" i="4"/>
  <c r="P85" i="4"/>
  <c r="O85" i="4"/>
  <c r="N85" i="4"/>
  <c r="M85" i="4"/>
  <c r="L85" i="4"/>
  <c r="K85" i="4"/>
  <c r="J85" i="4"/>
  <c r="H85" i="4"/>
  <c r="R84" i="4"/>
  <c r="Q84" i="4"/>
  <c r="P84" i="4"/>
  <c r="O84" i="4"/>
  <c r="N84" i="4"/>
  <c r="M84" i="4"/>
  <c r="L84" i="4"/>
  <c r="K84" i="4"/>
  <c r="J84" i="4"/>
  <c r="H84" i="4"/>
  <c r="R83" i="4"/>
  <c r="Q83" i="4"/>
  <c r="P83" i="4"/>
  <c r="O83" i="4"/>
  <c r="N83" i="4"/>
  <c r="M83" i="4"/>
  <c r="L83" i="4"/>
  <c r="K83" i="4"/>
  <c r="J83" i="4"/>
  <c r="H83" i="4"/>
  <c r="R82" i="4"/>
  <c r="Q82" i="4"/>
  <c r="P82" i="4"/>
  <c r="O82" i="4"/>
  <c r="N82" i="4"/>
  <c r="M82" i="4"/>
  <c r="L82" i="4"/>
  <c r="K82" i="4"/>
  <c r="J82" i="4"/>
  <c r="H82" i="4"/>
  <c r="R81" i="4"/>
  <c r="Q81" i="4"/>
  <c r="P81" i="4"/>
  <c r="O81" i="4"/>
  <c r="N81" i="4"/>
  <c r="M81" i="4"/>
  <c r="L81" i="4"/>
  <c r="K81" i="4"/>
  <c r="J81" i="4"/>
  <c r="H81" i="4"/>
  <c r="R80" i="4"/>
  <c r="Q80" i="4"/>
  <c r="P80" i="4"/>
  <c r="O80" i="4"/>
  <c r="N80" i="4"/>
  <c r="M80" i="4"/>
  <c r="L80" i="4"/>
  <c r="K80" i="4"/>
  <c r="J80" i="4"/>
  <c r="H80" i="4"/>
  <c r="R79" i="4"/>
  <c r="Q79" i="4"/>
  <c r="P79" i="4"/>
  <c r="O79" i="4"/>
  <c r="N79" i="4"/>
  <c r="M79" i="4"/>
  <c r="L79" i="4"/>
  <c r="K79" i="4"/>
  <c r="J79" i="4"/>
  <c r="H79" i="4"/>
  <c r="R78" i="4"/>
  <c r="Q78" i="4"/>
  <c r="P78" i="4"/>
  <c r="O78" i="4"/>
  <c r="N78" i="4"/>
  <c r="M78" i="4"/>
  <c r="L78" i="4"/>
  <c r="K78" i="4"/>
  <c r="J78" i="4"/>
  <c r="H78" i="4"/>
  <c r="R77" i="4"/>
  <c r="Q77" i="4"/>
  <c r="P77" i="4"/>
  <c r="O77" i="4"/>
  <c r="N77" i="4"/>
  <c r="M77" i="4"/>
  <c r="L77" i="4"/>
  <c r="K77" i="4"/>
  <c r="J77" i="4"/>
  <c r="H77" i="4"/>
  <c r="R76" i="4"/>
  <c r="Q76" i="4"/>
  <c r="P76" i="4"/>
  <c r="O76" i="4"/>
  <c r="N76" i="4"/>
  <c r="M76" i="4"/>
  <c r="L76" i="4"/>
  <c r="K76" i="4"/>
  <c r="J76" i="4"/>
  <c r="H76" i="4"/>
  <c r="R75" i="4"/>
  <c r="Q75" i="4"/>
  <c r="P75" i="4"/>
  <c r="O75" i="4"/>
  <c r="N75" i="4"/>
  <c r="M75" i="4"/>
  <c r="L75" i="4"/>
  <c r="K75" i="4"/>
  <c r="J75" i="4"/>
  <c r="H75" i="4"/>
  <c r="R74" i="4"/>
  <c r="Q74" i="4"/>
  <c r="P74" i="4"/>
  <c r="O74" i="4"/>
  <c r="N74" i="4"/>
  <c r="M74" i="4"/>
  <c r="L74" i="4"/>
  <c r="K74" i="4"/>
  <c r="J74" i="4"/>
  <c r="H74" i="4"/>
  <c r="R73" i="4"/>
  <c r="Q73" i="4"/>
  <c r="P73" i="4"/>
  <c r="O73" i="4"/>
  <c r="N73" i="4"/>
  <c r="M73" i="4"/>
  <c r="L73" i="4"/>
  <c r="K73" i="4"/>
  <c r="J73" i="4"/>
  <c r="H73" i="4"/>
  <c r="R72" i="4"/>
  <c r="Q72" i="4"/>
  <c r="P72" i="4"/>
  <c r="O72" i="4"/>
  <c r="N72" i="4"/>
  <c r="M72" i="4"/>
  <c r="L72" i="4"/>
  <c r="K72" i="4"/>
  <c r="J72" i="4"/>
  <c r="H72" i="4"/>
  <c r="R71" i="4"/>
  <c r="Q71" i="4"/>
  <c r="P71" i="4"/>
  <c r="O71" i="4"/>
  <c r="N71" i="4"/>
  <c r="M71" i="4"/>
  <c r="L71" i="4"/>
  <c r="K71" i="4"/>
  <c r="J71" i="4"/>
  <c r="H71" i="4"/>
  <c r="R70" i="4"/>
  <c r="Q70" i="4"/>
  <c r="P70" i="4"/>
  <c r="O70" i="4"/>
  <c r="N70" i="4"/>
  <c r="M70" i="4"/>
  <c r="L70" i="4"/>
  <c r="K70" i="4"/>
  <c r="J70" i="4"/>
  <c r="H70" i="4"/>
  <c r="R69" i="4"/>
  <c r="Q69" i="4"/>
  <c r="P69" i="4"/>
  <c r="O69" i="4"/>
  <c r="N69" i="4"/>
  <c r="M69" i="4"/>
  <c r="L69" i="4"/>
  <c r="K69" i="4"/>
  <c r="J69" i="4"/>
  <c r="H69" i="4"/>
  <c r="R68" i="4"/>
  <c r="Q68" i="4"/>
  <c r="P68" i="4"/>
  <c r="O68" i="4"/>
  <c r="N68" i="4"/>
  <c r="M68" i="4"/>
  <c r="L68" i="4"/>
  <c r="K68" i="4"/>
  <c r="J68" i="4"/>
  <c r="H68" i="4"/>
  <c r="R67" i="4"/>
  <c r="Q67" i="4"/>
  <c r="P67" i="4"/>
  <c r="O67" i="4"/>
  <c r="N67" i="4"/>
  <c r="M67" i="4"/>
  <c r="L67" i="4"/>
  <c r="K67" i="4"/>
  <c r="J67" i="4"/>
  <c r="H67" i="4"/>
  <c r="R66" i="4"/>
  <c r="Q66" i="4"/>
  <c r="P66" i="4"/>
  <c r="O66" i="4"/>
  <c r="N66" i="4"/>
  <c r="M66" i="4"/>
  <c r="L66" i="4"/>
  <c r="K66" i="4"/>
  <c r="J66" i="4"/>
  <c r="H66" i="4"/>
  <c r="R65" i="4"/>
  <c r="Q65" i="4"/>
  <c r="P65" i="4"/>
  <c r="O65" i="4"/>
  <c r="N65" i="4"/>
  <c r="M65" i="4"/>
  <c r="L65" i="4"/>
  <c r="K65" i="4"/>
  <c r="J65" i="4"/>
  <c r="H65" i="4"/>
  <c r="R64" i="4"/>
  <c r="Q64" i="4"/>
  <c r="P64" i="4"/>
  <c r="O64" i="4"/>
  <c r="N64" i="4"/>
  <c r="M64" i="4"/>
  <c r="L64" i="4"/>
  <c r="K64" i="4"/>
  <c r="J64" i="4"/>
  <c r="H64" i="4"/>
  <c r="R63" i="4"/>
  <c r="Q63" i="4"/>
  <c r="P63" i="4"/>
  <c r="O63" i="4"/>
  <c r="N63" i="4"/>
  <c r="M63" i="4"/>
  <c r="L63" i="4"/>
  <c r="K63" i="4"/>
  <c r="J63" i="4"/>
  <c r="H63" i="4"/>
  <c r="R62" i="4"/>
  <c r="Q62" i="4"/>
  <c r="P62" i="4"/>
  <c r="O62" i="4"/>
  <c r="N62" i="4"/>
  <c r="M62" i="4"/>
  <c r="L62" i="4"/>
  <c r="K62" i="4"/>
  <c r="J62" i="4"/>
  <c r="H62" i="4"/>
  <c r="R61" i="4"/>
  <c r="Q61" i="4"/>
  <c r="P61" i="4"/>
  <c r="O61" i="4"/>
  <c r="N61" i="4"/>
  <c r="M61" i="4"/>
  <c r="L61" i="4"/>
  <c r="K61" i="4"/>
  <c r="J61" i="4"/>
  <c r="H61" i="4"/>
  <c r="R60" i="4"/>
  <c r="Q60" i="4"/>
  <c r="P60" i="4"/>
  <c r="O60" i="4"/>
  <c r="N60" i="4"/>
  <c r="M60" i="4"/>
  <c r="L60" i="4"/>
  <c r="K60" i="4"/>
  <c r="J60" i="4"/>
  <c r="H60" i="4"/>
  <c r="R59" i="4"/>
  <c r="Q59" i="4"/>
  <c r="P59" i="4"/>
  <c r="O59" i="4"/>
  <c r="N59" i="4"/>
  <c r="M59" i="4"/>
  <c r="L59" i="4"/>
  <c r="K59" i="4"/>
  <c r="J59" i="4"/>
  <c r="H59" i="4"/>
  <c r="R58" i="4"/>
  <c r="Q58" i="4"/>
  <c r="P58" i="4"/>
  <c r="O58" i="4"/>
  <c r="N58" i="4"/>
  <c r="M58" i="4"/>
  <c r="L58" i="4"/>
  <c r="K58" i="4"/>
  <c r="J58" i="4"/>
  <c r="H58" i="4"/>
  <c r="R57" i="4"/>
  <c r="Q57" i="4"/>
  <c r="P57" i="4"/>
  <c r="O57" i="4"/>
  <c r="N57" i="4"/>
  <c r="M57" i="4"/>
  <c r="L57" i="4"/>
  <c r="K57" i="4"/>
  <c r="J57" i="4"/>
  <c r="H57" i="4"/>
  <c r="R56" i="4"/>
  <c r="Q56" i="4"/>
  <c r="P56" i="4"/>
  <c r="O56" i="4"/>
  <c r="N56" i="4"/>
  <c r="M56" i="4"/>
  <c r="L56" i="4"/>
  <c r="K56" i="4"/>
  <c r="J56" i="4"/>
  <c r="H56" i="4"/>
  <c r="R55" i="4"/>
  <c r="Q55" i="4"/>
  <c r="P55" i="4"/>
  <c r="O55" i="4"/>
  <c r="N55" i="4"/>
  <c r="M55" i="4"/>
  <c r="L55" i="4"/>
  <c r="K55" i="4"/>
  <c r="J55" i="4"/>
  <c r="H55" i="4"/>
  <c r="R54" i="4"/>
  <c r="Q54" i="4"/>
  <c r="P54" i="4"/>
  <c r="O54" i="4"/>
  <c r="N54" i="4"/>
  <c r="M54" i="4"/>
  <c r="L54" i="4"/>
  <c r="K54" i="4"/>
  <c r="J54" i="4"/>
  <c r="H54" i="4"/>
  <c r="R53" i="4"/>
  <c r="Q53" i="4"/>
  <c r="P53" i="4"/>
  <c r="O53" i="4"/>
  <c r="N53" i="4"/>
  <c r="M53" i="4"/>
  <c r="L53" i="4"/>
  <c r="K53" i="4"/>
  <c r="J53" i="4"/>
  <c r="H53" i="4"/>
  <c r="R52" i="4"/>
  <c r="Q52" i="4"/>
  <c r="P52" i="4"/>
  <c r="O52" i="4"/>
  <c r="N52" i="4"/>
  <c r="M52" i="4"/>
  <c r="L52" i="4"/>
  <c r="K52" i="4"/>
  <c r="J52" i="4"/>
  <c r="H52" i="4"/>
  <c r="R51" i="4"/>
  <c r="Q51" i="4"/>
  <c r="P51" i="4"/>
  <c r="O51" i="4"/>
  <c r="N51" i="4"/>
  <c r="M51" i="4"/>
  <c r="L51" i="4"/>
  <c r="K51" i="4"/>
  <c r="J51" i="4"/>
  <c r="H51" i="4"/>
  <c r="R50" i="4"/>
  <c r="Q50" i="4"/>
  <c r="P50" i="4"/>
  <c r="O50" i="4"/>
  <c r="N50" i="4"/>
  <c r="M50" i="4"/>
  <c r="L50" i="4"/>
  <c r="K50" i="4"/>
  <c r="J50" i="4"/>
  <c r="H50" i="4"/>
  <c r="R49" i="4"/>
  <c r="Q49" i="4"/>
  <c r="P49" i="4"/>
  <c r="O49" i="4"/>
  <c r="N49" i="4"/>
  <c r="M49" i="4"/>
  <c r="L49" i="4"/>
  <c r="K49" i="4"/>
  <c r="J49" i="4"/>
  <c r="H49" i="4"/>
  <c r="R48" i="4"/>
  <c r="Q48" i="4"/>
  <c r="P48" i="4"/>
  <c r="O48" i="4"/>
  <c r="N48" i="4"/>
  <c r="M48" i="4"/>
  <c r="L48" i="4"/>
  <c r="K48" i="4"/>
  <c r="J48" i="4"/>
  <c r="H48" i="4"/>
  <c r="R47" i="4"/>
  <c r="Q47" i="4"/>
  <c r="P47" i="4"/>
  <c r="O47" i="4"/>
  <c r="N47" i="4"/>
  <c r="M47" i="4"/>
  <c r="L47" i="4"/>
  <c r="K47" i="4"/>
  <c r="J47" i="4"/>
  <c r="H47" i="4"/>
  <c r="R46" i="4"/>
  <c r="Q46" i="4"/>
  <c r="P46" i="4"/>
  <c r="O46" i="4"/>
  <c r="N46" i="4"/>
  <c r="M46" i="4"/>
  <c r="L46" i="4"/>
  <c r="K46" i="4"/>
  <c r="J46" i="4"/>
  <c r="H46" i="4"/>
  <c r="R45" i="4"/>
  <c r="Q45" i="4"/>
  <c r="P45" i="4"/>
  <c r="O45" i="4"/>
  <c r="N45" i="4"/>
  <c r="M45" i="4"/>
  <c r="L45" i="4"/>
  <c r="K45" i="4"/>
  <c r="J45" i="4"/>
  <c r="H45" i="4"/>
  <c r="R44" i="4"/>
  <c r="Q44" i="4"/>
  <c r="P44" i="4"/>
  <c r="O44" i="4"/>
  <c r="N44" i="4"/>
  <c r="M44" i="4"/>
  <c r="L44" i="4"/>
  <c r="K44" i="4"/>
  <c r="J44" i="4"/>
  <c r="H44" i="4"/>
  <c r="R43" i="4"/>
  <c r="Q43" i="4"/>
  <c r="P43" i="4"/>
  <c r="O43" i="4"/>
  <c r="N43" i="4"/>
  <c r="M43" i="4"/>
  <c r="L43" i="4"/>
  <c r="K43" i="4"/>
  <c r="J43" i="4"/>
  <c r="H43" i="4"/>
  <c r="R42" i="4"/>
  <c r="Q42" i="4"/>
  <c r="P42" i="4"/>
  <c r="O42" i="4"/>
  <c r="N42" i="4"/>
  <c r="M42" i="4"/>
  <c r="L42" i="4"/>
  <c r="K42" i="4"/>
  <c r="J42" i="4"/>
  <c r="H42" i="4"/>
  <c r="R41" i="4"/>
  <c r="Q41" i="4"/>
  <c r="P41" i="4"/>
  <c r="O41" i="4"/>
  <c r="N41" i="4"/>
  <c r="M41" i="4"/>
  <c r="L41" i="4"/>
  <c r="K41" i="4"/>
  <c r="J41" i="4"/>
  <c r="H41" i="4"/>
  <c r="R40" i="4"/>
  <c r="Q40" i="4"/>
  <c r="P40" i="4"/>
  <c r="O40" i="4"/>
  <c r="N40" i="4"/>
  <c r="M40" i="4"/>
  <c r="L40" i="4"/>
  <c r="K40" i="4"/>
  <c r="J40" i="4"/>
  <c r="H40" i="4"/>
  <c r="R39" i="4"/>
  <c r="Q39" i="4"/>
  <c r="P39" i="4"/>
  <c r="O39" i="4"/>
  <c r="N39" i="4"/>
  <c r="M39" i="4"/>
  <c r="L39" i="4"/>
  <c r="K39" i="4"/>
  <c r="J39" i="4"/>
  <c r="H39" i="4"/>
  <c r="R38" i="4"/>
  <c r="Q38" i="4"/>
  <c r="P38" i="4"/>
  <c r="O38" i="4"/>
  <c r="N38" i="4"/>
  <c r="M38" i="4"/>
  <c r="L38" i="4"/>
  <c r="K38" i="4"/>
  <c r="J38" i="4"/>
  <c r="H38" i="4"/>
  <c r="R37" i="4"/>
  <c r="Q37" i="4"/>
  <c r="P37" i="4"/>
  <c r="O37" i="4"/>
  <c r="N37" i="4"/>
  <c r="M37" i="4"/>
  <c r="L37" i="4"/>
  <c r="K37" i="4"/>
  <c r="J37" i="4"/>
  <c r="H37" i="4"/>
  <c r="R36" i="4"/>
  <c r="Q36" i="4"/>
  <c r="P36" i="4"/>
  <c r="O36" i="4"/>
  <c r="N36" i="4"/>
  <c r="M36" i="4"/>
  <c r="L36" i="4"/>
  <c r="K36" i="4"/>
  <c r="J36" i="4"/>
  <c r="H36" i="4"/>
  <c r="R35" i="4"/>
  <c r="Q35" i="4"/>
  <c r="P35" i="4"/>
  <c r="O35" i="4"/>
  <c r="N35" i="4"/>
  <c r="M35" i="4"/>
  <c r="L35" i="4"/>
  <c r="K35" i="4"/>
  <c r="J35" i="4"/>
  <c r="H35" i="4"/>
  <c r="R34" i="4"/>
  <c r="Q34" i="4"/>
  <c r="P34" i="4"/>
  <c r="O34" i="4"/>
  <c r="N34" i="4"/>
  <c r="M34" i="4"/>
  <c r="L34" i="4"/>
  <c r="K34" i="4"/>
  <c r="J34" i="4"/>
  <c r="H34" i="4"/>
  <c r="R33" i="4"/>
  <c r="Q33" i="4"/>
  <c r="P33" i="4"/>
  <c r="O33" i="4"/>
  <c r="N33" i="4"/>
  <c r="M33" i="4"/>
  <c r="L33" i="4"/>
  <c r="K33" i="4"/>
  <c r="J33" i="4"/>
  <c r="H33" i="4"/>
  <c r="R32" i="4"/>
  <c r="Q32" i="4"/>
  <c r="P32" i="4"/>
  <c r="O32" i="4"/>
  <c r="N32" i="4"/>
  <c r="M32" i="4"/>
  <c r="L32" i="4"/>
  <c r="K32" i="4"/>
  <c r="J32" i="4"/>
  <c r="H32" i="4"/>
  <c r="R31" i="4"/>
  <c r="Q31" i="4"/>
  <c r="P31" i="4"/>
  <c r="O31" i="4"/>
  <c r="N31" i="4"/>
  <c r="M31" i="4"/>
  <c r="L31" i="4"/>
  <c r="K31" i="4"/>
  <c r="J31" i="4"/>
  <c r="H31" i="4"/>
  <c r="R30" i="4"/>
  <c r="Q30" i="4"/>
  <c r="P30" i="4"/>
  <c r="O30" i="4"/>
  <c r="N30" i="4"/>
  <c r="M30" i="4"/>
  <c r="L30" i="4"/>
  <c r="K30" i="4"/>
  <c r="J30" i="4"/>
  <c r="H30" i="4"/>
  <c r="R29" i="4"/>
  <c r="Q29" i="4"/>
  <c r="P29" i="4"/>
  <c r="O29" i="4"/>
  <c r="N29" i="4"/>
  <c r="M29" i="4"/>
  <c r="L29" i="4"/>
  <c r="K29" i="4"/>
  <c r="J29" i="4"/>
  <c r="H29" i="4"/>
  <c r="R28" i="4"/>
  <c r="Q28" i="4"/>
  <c r="P28" i="4"/>
  <c r="O28" i="4"/>
  <c r="N28" i="4"/>
  <c r="M28" i="4"/>
  <c r="L28" i="4"/>
  <c r="K28" i="4"/>
  <c r="J28" i="4"/>
  <c r="H28" i="4"/>
  <c r="R27" i="4"/>
  <c r="Q27" i="4"/>
  <c r="P27" i="4"/>
  <c r="O27" i="4"/>
  <c r="N27" i="4"/>
  <c r="M27" i="4"/>
  <c r="L27" i="4"/>
  <c r="K27" i="4"/>
  <c r="J27" i="4"/>
  <c r="H27" i="4"/>
  <c r="R26" i="4"/>
  <c r="Q26" i="4"/>
  <c r="P26" i="4"/>
  <c r="O26" i="4"/>
  <c r="N26" i="4"/>
  <c r="M26" i="4"/>
  <c r="L26" i="4"/>
  <c r="K26" i="4"/>
  <c r="J26" i="4"/>
  <c r="H26" i="4"/>
  <c r="R25" i="4"/>
  <c r="Q25" i="4"/>
  <c r="P25" i="4"/>
  <c r="O25" i="4"/>
  <c r="N25" i="4"/>
  <c r="M25" i="4"/>
  <c r="L25" i="4"/>
  <c r="K25" i="4"/>
  <c r="J25" i="4"/>
  <c r="H25" i="4"/>
  <c r="R24" i="4"/>
  <c r="Q24" i="4"/>
  <c r="P24" i="4"/>
  <c r="O24" i="4"/>
  <c r="N24" i="4"/>
  <c r="M24" i="4"/>
  <c r="L24" i="4"/>
  <c r="K24" i="4"/>
  <c r="J24" i="4"/>
  <c r="H24" i="4"/>
  <c r="R23" i="4"/>
  <c r="Q23" i="4"/>
  <c r="P23" i="4"/>
  <c r="O23" i="4"/>
  <c r="N23" i="4"/>
  <c r="M23" i="4"/>
  <c r="L23" i="4"/>
  <c r="K23" i="4"/>
  <c r="J23" i="4"/>
  <c r="H23" i="4"/>
  <c r="R22" i="4"/>
  <c r="Q22" i="4"/>
  <c r="P22" i="4"/>
  <c r="O22" i="4"/>
  <c r="N22" i="4"/>
  <c r="M22" i="4"/>
  <c r="L22" i="4"/>
  <c r="K22" i="4"/>
  <c r="J22" i="4"/>
  <c r="H22" i="4"/>
  <c r="R21" i="4"/>
  <c r="Q21" i="4"/>
  <c r="P21" i="4"/>
  <c r="O21" i="4"/>
  <c r="N21" i="4"/>
  <c r="M21" i="4"/>
  <c r="L21" i="4"/>
  <c r="K21" i="4"/>
  <c r="J21" i="4"/>
  <c r="H21" i="4"/>
  <c r="R20" i="4"/>
  <c r="Q20" i="4"/>
  <c r="P20" i="4"/>
  <c r="O20" i="4"/>
  <c r="N20" i="4"/>
  <c r="M20" i="4"/>
  <c r="L20" i="4"/>
  <c r="K20" i="4"/>
  <c r="J20" i="4"/>
  <c r="H20" i="4"/>
  <c r="R19" i="4"/>
  <c r="Q19" i="4"/>
  <c r="P19" i="4"/>
  <c r="O19" i="4"/>
  <c r="N19" i="4"/>
  <c r="M19" i="4"/>
  <c r="L19" i="4"/>
  <c r="K19" i="4"/>
  <c r="J19" i="4"/>
  <c r="H19" i="4"/>
  <c r="R18" i="4"/>
  <c r="Q18" i="4"/>
  <c r="P18" i="4"/>
  <c r="O18" i="4"/>
  <c r="N18" i="4"/>
  <c r="M18" i="4"/>
  <c r="L18" i="4"/>
  <c r="K18" i="4"/>
  <c r="J18" i="4"/>
  <c r="H18" i="4"/>
  <c r="R17" i="4"/>
  <c r="Q17" i="4"/>
  <c r="P17" i="4"/>
  <c r="O17" i="4"/>
  <c r="N17" i="4"/>
  <c r="M17" i="4"/>
  <c r="L17" i="4"/>
  <c r="K17" i="4"/>
  <c r="J17" i="4"/>
  <c r="H17" i="4"/>
  <c r="R16" i="4"/>
  <c r="Q16" i="4"/>
  <c r="P16" i="4"/>
  <c r="O16" i="4"/>
  <c r="N16" i="4"/>
  <c r="M16" i="4"/>
  <c r="L16" i="4"/>
  <c r="K16" i="4"/>
  <c r="J16" i="4"/>
  <c r="H16" i="4"/>
  <c r="R15" i="4"/>
  <c r="Q15" i="4"/>
  <c r="P15" i="4"/>
  <c r="O15" i="4"/>
  <c r="N15" i="4"/>
  <c r="M15" i="4"/>
  <c r="L15" i="4"/>
  <c r="K15" i="4"/>
  <c r="J15" i="4"/>
  <c r="H15" i="4"/>
  <c r="R14" i="4"/>
  <c r="Q14" i="4"/>
  <c r="P14" i="4"/>
  <c r="O14" i="4"/>
  <c r="N14" i="4"/>
  <c r="M14" i="4"/>
  <c r="L14" i="4"/>
  <c r="K14" i="4"/>
  <c r="J14" i="4"/>
  <c r="H14" i="4"/>
  <c r="R13" i="4"/>
  <c r="Q13" i="4"/>
  <c r="P13" i="4"/>
  <c r="O13" i="4"/>
  <c r="N13" i="4"/>
  <c r="M13" i="4"/>
  <c r="L13" i="4"/>
  <c r="K13" i="4"/>
  <c r="J13" i="4"/>
  <c r="H13" i="4"/>
  <c r="R12" i="4"/>
  <c r="Q12" i="4"/>
  <c r="P12" i="4"/>
  <c r="O12" i="4"/>
  <c r="N12" i="4"/>
  <c r="M12" i="4"/>
  <c r="L12" i="4"/>
  <c r="K12" i="4"/>
  <c r="J12" i="4"/>
  <c r="H12" i="4"/>
  <c r="R11" i="4"/>
  <c r="Q11" i="4"/>
  <c r="P11" i="4"/>
  <c r="O11" i="4"/>
  <c r="N11" i="4"/>
  <c r="M11" i="4"/>
  <c r="L11" i="4"/>
  <c r="K11" i="4"/>
  <c r="J11" i="4"/>
  <c r="H11" i="4"/>
  <c r="R10" i="4"/>
  <c r="Q10" i="4"/>
  <c r="P10" i="4"/>
  <c r="O10" i="4"/>
  <c r="N10" i="4"/>
  <c r="M10" i="4"/>
  <c r="L10" i="4"/>
  <c r="K10" i="4"/>
  <c r="J10" i="4"/>
  <c r="H10" i="4"/>
  <c r="R9" i="4"/>
  <c r="Q9" i="4"/>
  <c r="P9" i="4"/>
  <c r="O9" i="4"/>
  <c r="N9" i="4"/>
  <c r="M9" i="4"/>
  <c r="L9" i="4"/>
  <c r="K9" i="4"/>
  <c r="J9" i="4"/>
  <c r="H9" i="4"/>
  <c r="R8" i="4"/>
  <c r="Q8" i="4"/>
  <c r="P8" i="4"/>
  <c r="O8" i="4"/>
  <c r="N8" i="4"/>
  <c r="M8" i="4"/>
  <c r="L8" i="4"/>
  <c r="K8" i="4"/>
  <c r="J8" i="4"/>
  <c r="H8" i="4"/>
  <c r="R7" i="4"/>
  <c r="Q7" i="4"/>
  <c r="P7" i="4"/>
  <c r="O7" i="4"/>
  <c r="N7" i="4"/>
  <c r="M7" i="4"/>
  <c r="L7" i="4"/>
  <c r="K7" i="4"/>
  <c r="J7" i="4"/>
  <c r="H7" i="4"/>
  <c r="R6" i="4"/>
  <c r="Q6" i="4"/>
  <c r="P6" i="4"/>
  <c r="O6" i="4"/>
  <c r="N6" i="4"/>
  <c r="M6" i="4"/>
  <c r="L6" i="4"/>
  <c r="K6" i="4"/>
  <c r="J6" i="4"/>
  <c r="H6" i="4"/>
  <c r="R5" i="4"/>
  <c r="Q5" i="4"/>
  <c r="P5" i="4"/>
  <c r="O5" i="4"/>
  <c r="N5" i="4"/>
  <c r="M5" i="4"/>
  <c r="L5" i="4"/>
  <c r="K5" i="4"/>
  <c r="J5" i="4"/>
  <c r="H5" i="4"/>
  <c r="R4" i="4"/>
  <c r="Q4" i="4"/>
  <c r="P4" i="4"/>
  <c r="O4" i="4"/>
  <c r="N4" i="4"/>
  <c r="M4" i="4"/>
  <c r="AD3" i="4" s="1"/>
  <c r="L4" i="4"/>
  <c r="K4" i="4"/>
  <c r="J4" i="4"/>
  <c r="H4" i="4"/>
  <c r="AF3" i="4"/>
  <c r="AE3" i="4"/>
  <c r="R3" i="4"/>
  <c r="Q3" i="4"/>
  <c r="P3" i="4"/>
  <c r="AG3" i="4" s="1"/>
  <c r="O3" i="4"/>
  <c r="N3" i="4"/>
  <c r="M3" i="4"/>
  <c r="L3" i="4"/>
  <c r="K3" i="4"/>
  <c r="J3" i="4"/>
  <c r="H3" i="4"/>
  <c r="R2" i="4"/>
  <c r="AI3" i="4" s="1"/>
  <c r="Q2" i="4"/>
  <c r="AH3" i="4" s="1"/>
  <c r="P2" i="4"/>
  <c r="O2" i="4"/>
  <c r="N2" i="4"/>
  <c r="M2" i="4"/>
  <c r="L2" i="4"/>
  <c r="AC3" i="4" s="1"/>
  <c r="K2" i="4"/>
  <c r="AB3" i="4" s="1"/>
  <c r="J2" i="4"/>
  <c r="AA3" i="4" s="1"/>
  <c r="H2" i="4"/>
  <c r="H146" i="4" s="1"/>
  <c r="T3" i="2"/>
  <c r="S3" i="2"/>
  <c r="R3" i="2"/>
  <c r="Q3" i="2"/>
  <c r="P3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44" i="4" l="1"/>
  <c r="Y14" i="4"/>
  <c r="G2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<sst xmlns="http://schemas.openxmlformats.org/spreadsheetml/2006/main" count="1857" uniqueCount="214">
  <si>
    <t>Name</t>
  </si>
  <si>
    <t>Team</t>
  </si>
  <si>
    <t>Games</t>
  </si>
  <si>
    <t>Hits</t>
  </si>
  <si>
    <t>Batting Average</t>
  </si>
  <si>
    <t>Home Runs</t>
  </si>
  <si>
    <t>Salary (USD)</t>
  </si>
  <si>
    <t>J.T. Realmuto</t>
  </si>
  <si>
    <t>Will Smith</t>
  </si>
  <si>
    <t>Salvador Perez</t>
  </si>
  <si>
    <t>Cal Raleigh</t>
  </si>
  <si>
    <t>Adley Rutschman</t>
  </si>
  <si>
    <t>William Contreras</t>
  </si>
  <si>
    <t>Gabriel Moreno</t>
  </si>
  <si>
    <t>Jonah Heim</t>
  </si>
  <si>
    <t>Keibert Ruiz</t>
  </si>
  <si>
    <t>Yainer Díaz</t>
  </si>
  <si>
    <t>Alejandro Kirk</t>
  </si>
  <si>
    <t>Bo Naylor</t>
  </si>
  <si>
    <t>Shea Langeliers</t>
  </si>
  <si>
    <t>Henry Davis</t>
  </si>
  <si>
    <t>Sean Murphy</t>
  </si>
  <si>
    <t>Tyler Stephenson</t>
  </si>
  <si>
    <t>Francisco Álvarez</t>
  </si>
  <si>
    <t>Christian Vázquez</t>
  </si>
  <si>
    <t>Elias Díaz</t>
  </si>
  <si>
    <t>Patrick Bailey</t>
  </si>
  <si>
    <t>PHI</t>
  </si>
  <si>
    <t>LAD</t>
  </si>
  <si>
    <t>KCR</t>
  </si>
  <si>
    <t>SEA</t>
  </si>
  <si>
    <t>BAL</t>
  </si>
  <si>
    <t>MIL</t>
  </si>
  <si>
    <t>ARI</t>
  </si>
  <si>
    <t>TEX</t>
  </si>
  <si>
    <t>WSH</t>
  </si>
  <si>
    <t>HOU</t>
  </si>
  <si>
    <t>TOR</t>
  </si>
  <si>
    <t>CLE</t>
  </si>
  <si>
    <t>OAK</t>
  </si>
  <si>
    <t>PIT</t>
  </si>
  <si>
    <t>ATL</t>
  </si>
  <si>
    <t>CIN</t>
  </si>
  <si>
    <t>NYM</t>
  </si>
  <si>
    <t>MIN</t>
  </si>
  <si>
    <t>COL</t>
  </si>
  <si>
    <t>SFG</t>
  </si>
  <si>
    <t>Catcher</t>
  </si>
  <si>
    <t>Freddie Freeman</t>
  </si>
  <si>
    <t>Vladimir Guerrero Jr.</t>
  </si>
  <si>
    <t>Pete Alonso</t>
  </si>
  <si>
    <t>Paul Goldschmidt</t>
  </si>
  <si>
    <t>STL</t>
  </si>
  <si>
    <t>Matt Olson</t>
  </si>
  <si>
    <t>Nathaniel Lowe</t>
  </si>
  <si>
    <t>Christian Walker</t>
  </si>
  <si>
    <t>Spencer Torkelson</t>
  </si>
  <si>
    <t>DET</t>
  </si>
  <si>
    <t>Rhys Hoskins</t>
  </si>
  <si>
    <t>Josh Bell</t>
  </si>
  <si>
    <t>MIA</t>
  </si>
  <si>
    <t>Rowdy Tellez</t>
  </si>
  <si>
    <t>Triston Casas</t>
  </si>
  <si>
    <t>BOS</t>
  </si>
  <si>
    <t>Anthony Rizzo</t>
  </si>
  <si>
    <t>NYY</t>
  </si>
  <si>
    <t>DJ LeMahieu</t>
  </si>
  <si>
    <t>Bryce Harper</t>
  </si>
  <si>
    <t>Carlos Santana</t>
  </si>
  <si>
    <t>Andrew Vaughn</t>
  </si>
  <si>
    <t>CWS</t>
  </si>
  <si>
    <t>Ty France</t>
  </si>
  <si>
    <t>Luke Voit</t>
  </si>
  <si>
    <t>FA</t>
  </si>
  <si>
    <t>WAR</t>
  </si>
  <si>
    <t>José Abreu</t>
  </si>
  <si>
    <t>First Base</t>
  </si>
  <si>
    <t>Jose Altuve</t>
  </si>
  <si>
    <t>Marcus Semien</t>
  </si>
  <si>
    <t>Ozzie Albies</t>
  </si>
  <si>
    <t>Gleyber Torres</t>
  </si>
  <si>
    <t>Ketel Marte</t>
  </si>
  <si>
    <t>Brandon Lowe</t>
  </si>
  <si>
    <t>TBR</t>
  </si>
  <si>
    <t>Jonathan India</t>
  </si>
  <si>
    <t>Nico Hoerner</t>
  </si>
  <si>
    <t>CHC</t>
  </si>
  <si>
    <t>Andrés Giménez</t>
  </si>
  <si>
    <t>Luis Arraez</t>
  </si>
  <si>
    <t>SDP</t>
  </si>
  <si>
    <t>Jeff McNeil</t>
  </si>
  <si>
    <t>Jake Cronenworth</t>
  </si>
  <si>
    <t>Whit Merrifield</t>
  </si>
  <si>
    <t>Brendan Donovan</t>
  </si>
  <si>
    <t>Edouard Julien</t>
  </si>
  <si>
    <t>Colton Wong</t>
  </si>
  <si>
    <t>LAA</t>
  </si>
  <si>
    <t>Ha-Seong Kim</t>
  </si>
  <si>
    <t>Christopher Morel</t>
  </si>
  <si>
    <t>Michael Massey</t>
  </si>
  <si>
    <t>Second Base</t>
  </si>
  <si>
    <t>Francisco Lindor</t>
  </si>
  <si>
    <t>Carlos Correa</t>
  </si>
  <si>
    <t>Corey Seager</t>
  </si>
  <si>
    <t>Trea Turner</t>
  </si>
  <si>
    <t>Dansby Swanson</t>
  </si>
  <si>
    <t>Bobby Witt Jr.</t>
  </si>
  <si>
    <t>Willy Adames</t>
  </si>
  <si>
    <t>Oneil Cruz</t>
  </si>
  <si>
    <t>Xander Bogaerts</t>
  </si>
  <si>
    <t>Anthony Volpe</t>
  </si>
  <si>
    <t>Jeremy Peña</t>
  </si>
  <si>
    <t>CJ Abrams</t>
  </si>
  <si>
    <t>Elly De La Cruz</t>
  </si>
  <si>
    <t>Tim Anderson</t>
  </si>
  <si>
    <t>J.P. Crawford</t>
  </si>
  <si>
    <t>Trevor Story</t>
  </si>
  <si>
    <t>Marco Luciano</t>
  </si>
  <si>
    <t>Luis García</t>
  </si>
  <si>
    <t>Paul DeJong</t>
  </si>
  <si>
    <t>CHW</t>
  </si>
  <si>
    <t>Shortstop</t>
  </si>
  <si>
    <t>Shohei Ohtani</t>
  </si>
  <si>
    <t>Kyle Schwarber</t>
  </si>
  <si>
    <t>Yordan Alvarez</t>
  </si>
  <si>
    <t>Giancarlo Stanton</t>
  </si>
  <si>
    <t>J.D. Martinez</t>
  </si>
  <si>
    <t>Eloy Jiménez</t>
  </si>
  <si>
    <t>Nelson Cruz</t>
  </si>
  <si>
    <t>Miguel Cabrera</t>
  </si>
  <si>
    <t>Justin Turner</t>
  </si>
  <si>
    <t>Joey Meneses</t>
  </si>
  <si>
    <t>Byron Buxton</t>
  </si>
  <si>
    <t>Josh Naylor</t>
  </si>
  <si>
    <t>Harold Ramírez</t>
  </si>
  <si>
    <t>Alex Verdugo</t>
  </si>
  <si>
    <t>Hunter Renfroe</t>
  </si>
  <si>
    <t>Anthony Santander</t>
  </si>
  <si>
    <t>Marcell Ozuna</t>
  </si>
  <si>
    <t>Jesse Winker</t>
  </si>
  <si>
    <t>Brent Rooker</t>
  </si>
  <si>
    <t>Designated Hitter</t>
  </si>
  <si>
    <t>Aaron Judge</t>
  </si>
  <si>
    <t>Juan Soto</t>
  </si>
  <si>
    <t>Ronald Acuña Jr.</t>
  </si>
  <si>
    <t>Mookie Betts</t>
  </si>
  <si>
    <t>Kyle Tucker</t>
  </si>
  <si>
    <t>Mike Trout</t>
  </si>
  <si>
    <t>Luis Robert Jr.</t>
  </si>
  <si>
    <t>Julio Rodríguez</t>
  </si>
  <si>
    <t>Fernando Tatis Jr.</t>
  </si>
  <si>
    <t>Adolis García</t>
  </si>
  <si>
    <t>Seiya Suzuki</t>
  </si>
  <si>
    <t>George Springer</t>
  </si>
  <si>
    <t>Randy Arozarena</t>
  </si>
  <si>
    <t>Corbin Carroll</t>
  </si>
  <si>
    <t>Michael Harris II</t>
  </si>
  <si>
    <t>Cedric Mullins</t>
  </si>
  <si>
    <t>Christian Yelich</t>
  </si>
  <si>
    <t>Nick Castellanos</t>
  </si>
  <si>
    <t>Starling Marte</t>
  </si>
  <si>
    <t>Ian Happ</t>
  </si>
  <si>
    <t>Teoscar Hernández</t>
  </si>
  <si>
    <t>Lourdes Gurriel Jr.</t>
  </si>
  <si>
    <t>Joey Gallo</t>
  </si>
  <si>
    <t>WAS</t>
  </si>
  <si>
    <t>Hunter Brown</t>
  </si>
  <si>
    <t>Jack Suwinski</t>
  </si>
  <si>
    <t>Daulton Varsho</t>
  </si>
  <si>
    <t>Mark Canha</t>
  </si>
  <si>
    <t>Kyle Isbel</t>
  </si>
  <si>
    <t>Jarred Kelenic</t>
  </si>
  <si>
    <t>Manuel Margot</t>
  </si>
  <si>
    <t>Taylor Ward</t>
  </si>
  <si>
    <t>Bryan Reynolds</t>
  </si>
  <si>
    <t>Alex Kirilloff</t>
  </si>
  <si>
    <t>Trent Grisham</t>
  </si>
  <si>
    <t>Lane Thomas</t>
  </si>
  <si>
    <t>Steven Kwan</t>
  </si>
  <si>
    <t>MJ Melendez</t>
  </si>
  <si>
    <t>Harrison Bader</t>
  </si>
  <si>
    <t>Chas McCormick</t>
  </si>
  <si>
    <t>Andrew Benintendi</t>
  </si>
  <si>
    <t>Oscar Gonzalez</t>
  </si>
  <si>
    <t>Brenton Doyle</t>
  </si>
  <si>
    <t>Jason Heyward</t>
  </si>
  <si>
    <t>Outfield</t>
  </si>
  <si>
    <t>Third Base</t>
  </si>
  <si>
    <t>Canadian</t>
  </si>
  <si>
    <t>1st round</t>
  </si>
  <si>
    <t>Position</t>
  </si>
  <si>
    <t>Total salary:</t>
  </si>
  <si>
    <t>Total WAR:</t>
  </si>
  <si>
    <t>Selection</t>
  </si>
  <si>
    <t>BA of 0.3 or above:</t>
  </si>
  <si>
    <t>count of 15 highest paid players:</t>
  </si>
  <si>
    <t>salary rank</t>
  </si>
  <si>
    <t>DH</t>
  </si>
  <si>
    <t>AVG salary by position</t>
  </si>
  <si>
    <t>Middle Infielder</t>
  </si>
  <si>
    <t>Corner Infielder</t>
  </si>
  <si>
    <t># of players:</t>
  </si>
  <si>
    <t># of canadians:</t>
  </si>
  <si>
    <t>Player count</t>
  </si>
  <si>
    <t>Salary</t>
  </si>
  <si>
    <t>Salary Rank</t>
  </si>
  <si>
    <t>Total Salary:</t>
  </si>
  <si>
    <t># of Canadians:</t>
  </si>
  <si>
    <t>Players with BA &gt;= 0.3:</t>
  </si>
  <si>
    <t># of top 15 salary rank:</t>
  </si>
  <si>
    <t>GRG non-linear model</t>
  </si>
  <si>
    <t>Simplex model</t>
  </si>
  <si>
    <t>Avg. Salary</t>
  </si>
  <si>
    <t>count of players making over 2mil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</si>
</sst>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00_-;\-* #,##0.000_-;_-* &quot;-&quot;??_-;_-@_-"/>
    <numFmt numFmtId="167" formatCode="_-&quot;$&quot;* #,##0_-;\-&quot;$&quot;* #,##0_-;_-&quot;$&quot;* &quot;-&quot;??_-;_-@_-"/>
    <numFmt numFmtId="168" formatCode="&quot;$&quot;#,##0.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singleAccounting"/>
      <sz val="16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7">
    <xf numFmtId="0" fontId="0" fillId="0" borderId="0" xfId="0"/>
    <xf numFmtId="166" fontId="0" fillId="0" borderId="0" xfId="1" applyNumberFormat="1" applyFont="1"/>
    <xf numFmtId="167" fontId="0" fillId="0" borderId="0" xfId="2" applyNumberFormat="1" applyFont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3" borderId="0" xfId="0" applyFill="1"/>
    <xf numFmtId="164" fontId="0" fillId="0" borderId="0" xfId="2" applyFont="1"/>
    <xf numFmtId="0" fontId="0" fillId="0" borderId="0" xfId="3" applyNumberFormat="1" applyFont="1"/>
    <xf numFmtId="0" fontId="2" fillId="0" borderId="0" xfId="0" applyFont="1"/>
    <xf numFmtId="168" fontId="0" fillId="0" borderId="0" xfId="0" applyNumberForma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168" fontId="0" fillId="0" borderId="4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15" xfId="0" applyBorder="1"/>
    <xf numFmtId="166" fontId="0" fillId="0" borderId="0" xfId="1" applyNumberFormat="1" applyFont="1" applyFill="1"/>
    <xf numFmtId="167" fontId="0" fillId="0" borderId="0" xfId="2" applyNumberFormat="1" applyFont="1" applyFill="1"/>
    <xf numFmtId="0" fontId="0" fillId="0" borderId="0" xfId="3" applyNumberFormat="1" applyFont="1" applyFill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7" fillId="0" borderId="14" xfId="2" applyFont="1" applyBorder="1" applyAlignment="1">
      <alignment horizontal="center" vertical="center"/>
    </xf>
    <xf numFmtId="164" fontId="7" fillId="0" borderId="16" xfId="2" applyFont="1" applyBorder="1" applyAlignment="1">
      <alignment horizontal="center" vertical="center"/>
    </xf>
    <xf numFmtId="164" fontId="7" fillId="0" borderId="19" xfId="2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0FA4-4776-4F4B-9BBC-4AD34D2513E5}">
  <dimension ref="A1:AI141"/>
  <sheetViews>
    <sheetView topLeftCell="Q1" zoomScale="117" workbookViewId="0">
      <selection activeCell="H144" sqref="H144"/>
    </sheetView>
  </sheetViews>
  <sheetFormatPr baseColWidth="10" defaultColWidth="8.83203125" defaultRowHeight="15" x14ac:dyDescent="0.2"/>
  <cols>
    <col min="1" max="1" width="20" customWidth="1"/>
    <col min="5" max="5" width="13.6640625" customWidth="1"/>
    <col min="7" max="8" width="17.1640625" customWidth="1"/>
    <col min="9" max="9" width="18.5" customWidth="1"/>
    <col min="10" max="18" width="15.1640625" customWidth="1"/>
    <col min="24" max="24" width="27" bestFit="1" customWidth="1"/>
    <col min="25" max="25" width="10.1640625" bestFit="1" customWidth="1"/>
    <col min="33" max="33" width="14.33203125" bestFit="1" customWidth="1"/>
    <col min="34" max="34" width="13.1640625" bestFit="1" customWidth="1"/>
    <col min="35" max="35" width="13" bestFit="1" customWidth="1"/>
  </cols>
  <sheetData>
    <row r="1" spans="1:35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196</v>
      </c>
      <c r="I1" s="3" t="s">
        <v>190</v>
      </c>
      <c r="J1" t="s">
        <v>186</v>
      </c>
      <c r="K1" t="s">
        <v>47</v>
      </c>
      <c r="L1" t="s">
        <v>76</v>
      </c>
      <c r="M1" t="s">
        <v>100</v>
      </c>
      <c r="N1" t="s">
        <v>187</v>
      </c>
      <c r="O1" t="s">
        <v>121</v>
      </c>
      <c r="P1" t="s">
        <v>141</v>
      </c>
      <c r="Q1" t="s">
        <v>199</v>
      </c>
      <c r="R1" t="s">
        <v>200</v>
      </c>
      <c r="S1" s="4" t="s">
        <v>74</v>
      </c>
      <c r="T1" s="4" t="s">
        <v>188</v>
      </c>
      <c r="U1" s="4" t="s">
        <v>189</v>
      </c>
      <c r="V1" s="4" t="s">
        <v>193</v>
      </c>
    </row>
    <row r="2" spans="1:35" x14ac:dyDescent="0.2">
      <c r="A2" t="s">
        <v>142</v>
      </c>
      <c r="B2" t="s">
        <v>65</v>
      </c>
      <c r="C2">
        <v>152</v>
      </c>
      <c r="D2">
        <v>137</v>
      </c>
      <c r="E2" s="1">
        <v>0.33100000000000002</v>
      </c>
      <c r="F2">
        <v>53</v>
      </c>
      <c r="G2" s="2">
        <v>40000000</v>
      </c>
      <c r="H2" s="7">
        <f>_xlfn.RANK.EQ(G2,$G$2:$G$141,0)</f>
        <v>2</v>
      </c>
      <c r="I2" t="s">
        <v>186</v>
      </c>
      <c r="J2">
        <f>IF($I2=J$1,1,0)</f>
        <v>1</v>
      </c>
      <c r="K2">
        <f t="shared" ref="K2:P17" si="0">IF($I2=K$1,1,0)</f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>IF($I2=P$1,1,0)</f>
        <v>0</v>
      </c>
      <c r="Q2">
        <f>IF(OR(I2=O$1,I2=M$1),1,0)</f>
        <v>0</v>
      </c>
      <c r="R2">
        <f>IF(OR(I2=N$1,I2=L$1),1,0)</f>
        <v>0</v>
      </c>
      <c r="S2">
        <v>9.1999999999999993</v>
      </c>
      <c r="T2">
        <v>0</v>
      </c>
      <c r="U2">
        <v>1</v>
      </c>
      <c r="V2" s="5">
        <v>0</v>
      </c>
      <c r="AA2" t="s">
        <v>186</v>
      </c>
      <c r="AB2" t="s">
        <v>47</v>
      </c>
      <c r="AC2" t="s">
        <v>76</v>
      </c>
      <c r="AD2" t="s">
        <v>100</v>
      </c>
      <c r="AE2" t="s">
        <v>187</v>
      </c>
      <c r="AF2" t="s">
        <v>121</v>
      </c>
      <c r="AG2" t="s">
        <v>141</v>
      </c>
      <c r="AH2" t="s">
        <v>199</v>
      </c>
      <c r="AI2" t="s">
        <v>200</v>
      </c>
    </row>
    <row r="3" spans="1:35" x14ac:dyDescent="0.2">
      <c r="A3" t="s">
        <v>11</v>
      </c>
      <c r="B3" t="s">
        <v>31</v>
      </c>
      <c r="C3">
        <v>148</v>
      </c>
      <c r="D3">
        <v>135</v>
      </c>
      <c r="E3" s="26">
        <v>0.27</v>
      </c>
      <c r="F3">
        <v>22</v>
      </c>
      <c r="G3" s="27">
        <v>760000</v>
      </c>
      <c r="H3" s="28">
        <f t="shared" ref="H3:H66" si="1">_xlfn.RANK.EQ(G3,$G$2:$G$141,0)</f>
        <v>98</v>
      </c>
      <c r="I3" t="s">
        <v>47</v>
      </c>
      <c r="J3">
        <f t="shared" ref="J3:P52" si="2">IF($I3=J$1,1,0)</f>
        <v>0</v>
      </c>
      <c r="K3">
        <f t="shared" si="0"/>
        <v>1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ref="Q3:Q66" si="3">IF(OR(I3=O$1,I3=M$1),1,0)</f>
        <v>0</v>
      </c>
      <c r="R3">
        <f t="shared" ref="R3:R66" si="4">IF(OR(I3=N$1,I3=L$1),1,0)</f>
        <v>0</v>
      </c>
      <c r="S3">
        <v>6</v>
      </c>
      <c r="T3">
        <v>0</v>
      </c>
      <c r="U3">
        <v>1</v>
      </c>
      <c r="V3" s="5">
        <v>1</v>
      </c>
      <c r="X3" t="s">
        <v>201</v>
      </c>
      <c r="Y3">
        <f>SUM(V2:V141)</f>
        <v>15</v>
      </c>
      <c r="AA3">
        <f>SUMPRODUCT($V$2:$V$141,J2:J141)</f>
        <v>4</v>
      </c>
      <c r="AB3">
        <f t="shared" ref="AB3:AI3" si="5">SUMPRODUCT($V$2:$V$141,K2:K141)</f>
        <v>3</v>
      </c>
      <c r="AC3">
        <f t="shared" si="5"/>
        <v>2</v>
      </c>
      <c r="AD3">
        <f t="shared" si="5"/>
        <v>1</v>
      </c>
      <c r="AE3">
        <f t="shared" si="5"/>
        <v>1</v>
      </c>
      <c r="AF3">
        <f t="shared" si="5"/>
        <v>4</v>
      </c>
      <c r="AG3">
        <f t="shared" si="5"/>
        <v>0</v>
      </c>
      <c r="AH3">
        <f t="shared" si="5"/>
        <v>5</v>
      </c>
      <c r="AI3">
        <f t="shared" si="5"/>
        <v>3</v>
      </c>
    </row>
    <row r="4" spans="1:35" x14ac:dyDescent="0.2">
      <c r="A4" t="s">
        <v>151</v>
      </c>
      <c r="B4" t="s">
        <v>34</v>
      </c>
      <c r="C4">
        <v>152</v>
      </c>
      <c r="D4">
        <v>150</v>
      </c>
      <c r="E4" s="1">
        <v>0.27300000000000002</v>
      </c>
      <c r="F4">
        <v>36</v>
      </c>
      <c r="G4" s="2">
        <v>6000000</v>
      </c>
      <c r="H4" s="7">
        <f t="shared" si="1"/>
        <v>79</v>
      </c>
      <c r="I4" t="s">
        <v>186</v>
      </c>
      <c r="J4">
        <f t="shared" si="2"/>
        <v>1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3"/>
        <v>0</v>
      </c>
      <c r="R4">
        <f t="shared" si="4"/>
        <v>0</v>
      </c>
      <c r="S4">
        <v>4.7</v>
      </c>
      <c r="T4">
        <v>0</v>
      </c>
      <c r="U4">
        <v>0</v>
      </c>
      <c r="V4" s="5">
        <v>0</v>
      </c>
      <c r="X4" t="s">
        <v>202</v>
      </c>
      <c r="Y4">
        <f>SUMPRODUCT(V2:V141,T2:T141)</f>
        <v>1</v>
      </c>
    </row>
    <row r="5" spans="1:35" x14ac:dyDescent="0.2">
      <c r="A5" t="s">
        <v>17</v>
      </c>
      <c r="B5" t="s">
        <v>37</v>
      </c>
      <c r="C5">
        <v>132</v>
      </c>
      <c r="D5">
        <v>127</v>
      </c>
      <c r="E5" s="1">
        <v>0.28199999999999997</v>
      </c>
      <c r="F5">
        <v>15</v>
      </c>
      <c r="G5" s="2">
        <v>760000</v>
      </c>
      <c r="H5" s="7">
        <f t="shared" si="1"/>
        <v>98</v>
      </c>
      <c r="I5" t="s">
        <v>47</v>
      </c>
      <c r="J5">
        <f t="shared" si="2"/>
        <v>0</v>
      </c>
      <c r="K5">
        <f t="shared" si="0"/>
        <v>1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3"/>
        <v>0</v>
      </c>
      <c r="R5">
        <f t="shared" si="4"/>
        <v>0</v>
      </c>
      <c r="S5">
        <v>2.4</v>
      </c>
      <c r="T5">
        <v>0</v>
      </c>
      <c r="U5">
        <v>0</v>
      </c>
      <c r="V5" s="5">
        <v>0</v>
      </c>
    </row>
    <row r="6" spans="1:35" x14ac:dyDescent="0.2">
      <c r="A6" t="s">
        <v>175</v>
      </c>
      <c r="B6" t="s">
        <v>44</v>
      </c>
      <c r="C6">
        <v>135</v>
      </c>
      <c r="D6">
        <v>128</v>
      </c>
      <c r="E6" s="1">
        <v>0.25900000000000001</v>
      </c>
      <c r="F6">
        <v>16</v>
      </c>
      <c r="G6" s="2">
        <v>760000</v>
      </c>
      <c r="H6" s="7">
        <f t="shared" si="1"/>
        <v>98</v>
      </c>
      <c r="I6" t="s">
        <v>186</v>
      </c>
      <c r="J6">
        <f t="shared" si="2"/>
        <v>1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3"/>
        <v>0</v>
      </c>
      <c r="R6">
        <f t="shared" si="4"/>
        <v>0</v>
      </c>
      <c r="S6">
        <v>1.9</v>
      </c>
      <c r="T6">
        <v>0</v>
      </c>
      <c r="U6">
        <v>0</v>
      </c>
      <c r="V6" s="5">
        <v>0</v>
      </c>
    </row>
    <row r="7" spans="1:35" x14ac:dyDescent="0.2">
      <c r="A7" t="s">
        <v>135</v>
      </c>
      <c r="B7" t="s">
        <v>65</v>
      </c>
      <c r="C7">
        <v>145</v>
      </c>
      <c r="D7">
        <v>148</v>
      </c>
      <c r="E7" s="1">
        <v>0.27300000000000002</v>
      </c>
      <c r="F7">
        <v>17</v>
      </c>
      <c r="G7" s="2">
        <v>9000000</v>
      </c>
      <c r="H7" s="7">
        <f t="shared" si="1"/>
        <v>67</v>
      </c>
      <c r="I7" t="s">
        <v>186</v>
      </c>
      <c r="J7">
        <f t="shared" si="2"/>
        <v>1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3"/>
        <v>0</v>
      </c>
      <c r="R7">
        <f t="shared" si="4"/>
        <v>0</v>
      </c>
      <c r="S7">
        <v>2.6</v>
      </c>
      <c r="T7">
        <v>0</v>
      </c>
      <c r="U7">
        <v>0</v>
      </c>
      <c r="V7" s="5">
        <v>0</v>
      </c>
      <c r="X7" t="s">
        <v>191</v>
      </c>
      <c r="Y7">
        <f>SUMPRODUCT(V2:V141,G2:G141)</f>
        <v>11400000</v>
      </c>
    </row>
    <row r="8" spans="1:35" x14ac:dyDescent="0.2">
      <c r="A8" t="s">
        <v>87</v>
      </c>
      <c r="B8" t="s">
        <v>38</v>
      </c>
      <c r="C8">
        <v>150</v>
      </c>
      <c r="D8">
        <v>158</v>
      </c>
      <c r="E8" s="1">
        <v>0.26800000000000002</v>
      </c>
      <c r="F8">
        <v>15</v>
      </c>
      <c r="G8" s="2">
        <v>11500000</v>
      </c>
      <c r="H8" s="7">
        <f t="shared" si="1"/>
        <v>56</v>
      </c>
      <c r="I8" t="s">
        <v>100</v>
      </c>
      <c r="J8">
        <f t="shared" si="2"/>
        <v>0</v>
      </c>
      <c r="K8">
        <f t="shared" si="0"/>
        <v>0</v>
      </c>
      <c r="L8">
        <f t="shared" si="0"/>
        <v>0</v>
      </c>
      <c r="M8">
        <f t="shared" si="0"/>
        <v>1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3"/>
        <v>1</v>
      </c>
      <c r="R8">
        <f t="shared" si="4"/>
        <v>0</v>
      </c>
      <c r="S8">
        <v>3.9</v>
      </c>
      <c r="T8">
        <v>0</v>
      </c>
      <c r="U8">
        <v>0</v>
      </c>
      <c r="V8" s="5">
        <v>0</v>
      </c>
      <c r="X8" t="s">
        <v>192</v>
      </c>
      <c r="Y8">
        <f>SUMPRODUCT(V2:V141,S2:S141)</f>
        <v>54.4</v>
      </c>
    </row>
    <row r="9" spans="1:35" x14ac:dyDescent="0.2">
      <c r="A9" t="s">
        <v>182</v>
      </c>
      <c r="B9" t="s">
        <v>120</v>
      </c>
      <c r="C9">
        <v>142</v>
      </c>
      <c r="D9">
        <v>144</v>
      </c>
      <c r="E9" s="1">
        <v>0.27</v>
      </c>
      <c r="F9">
        <v>14</v>
      </c>
      <c r="G9" s="2">
        <v>16000000</v>
      </c>
      <c r="H9" s="7">
        <f t="shared" si="1"/>
        <v>39</v>
      </c>
      <c r="I9" t="s">
        <v>186</v>
      </c>
      <c r="J9">
        <f t="shared" si="2"/>
        <v>1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3"/>
        <v>0</v>
      </c>
      <c r="R9">
        <f t="shared" si="4"/>
        <v>0</v>
      </c>
      <c r="S9">
        <v>2.2000000000000002</v>
      </c>
      <c r="T9">
        <v>0</v>
      </c>
      <c r="U9">
        <v>0</v>
      </c>
      <c r="V9" s="5">
        <v>0</v>
      </c>
    </row>
    <row r="10" spans="1:35" x14ac:dyDescent="0.2">
      <c r="A10" t="s">
        <v>69</v>
      </c>
      <c r="B10" t="s">
        <v>70</v>
      </c>
      <c r="C10">
        <v>148</v>
      </c>
      <c r="D10">
        <v>140</v>
      </c>
      <c r="E10" s="1">
        <v>0.25800000000000001</v>
      </c>
      <c r="F10">
        <v>24</v>
      </c>
      <c r="G10" s="2">
        <v>760000</v>
      </c>
      <c r="H10" s="7">
        <f t="shared" si="1"/>
        <v>98</v>
      </c>
      <c r="I10" t="s">
        <v>76</v>
      </c>
      <c r="J10">
        <f t="shared" si="2"/>
        <v>0</v>
      </c>
      <c r="K10">
        <f t="shared" si="0"/>
        <v>0</v>
      </c>
      <c r="L10">
        <f t="shared" si="0"/>
        <v>1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3"/>
        <v>0</v>
      </c>
      <c r="R10">
        <f t="shared" si="4"/>
        <v>1</v>
      </c>
      <c r="S10">
        <v>2.4</v>
      </c>
      <c r="T10">
        <v>0</v>
      </c>
      <c r="U10">
        <v>1</v>
      </c>
      <c r="V10" s="5">
        <v>0</v>
      </c>
    </row>
    <row r="11" spans="1:35" x14ac:dyDescent="0.2">
      <c r="A11" t="s">
        <v>64</v>
      </c>
      <c r="B11" t="s">
        <v>65</v>
      </c>
      <c r="C11">
        <v>128</v>
      </c>
      <c r="D11">
        <v>118</v>
      </c>
      <c r="E11" s="1">
        <v>0.251</v>
      </c>
      <c r="F11">
        <v>21</v>
      </c>
      <c r="G11" s="2">
        <v>20000000</v>
      </c>
      <c r="H11" s="7">
        <f t="shared" si="1"/>
        <v>26</v>
      </c>
      <c r="I11" t="s">
        <v>76</v>
      </c>
      <c r="J11">
        <f t="shared" si="2"/>
        <v>0</v>
      </c>
      <c r="K11">
        <f t="shared" si="0"/>
        <v>0</v>
      </c>
      <c r="L11">
        <f t="shared" si="0"/>
        <v>1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3"/>
        <v>0</v>
      </c>
      <c r="R11">
        <f t="shared" si="4"/>
        <v>1</v>
      </c>
      <c r="S11">
        <v>1.5</v>
      </c>
      <c r="T11">
        <v>0</v>
      </c>
      <c r="U11">
        <v>0</v>
      </c>
      <c r="V11" s="5">
        <v>0</v>
      </c>
      <c r="X11" t="s">
        <v>194</v>
      </c>
      <c r="Y11">
        <f>COUNTIFS(V2:V141,1,E2:E141,"&gt;=0.3")</f>
        <v>2</v>
      </c>
    </row>
    <row r="12" spans="1:35" x14ac:dyDescent="0.2">
      <c r="A12" t="s">
        <v>137</v>
      </c>
      <c r="B12" t="s">
        <v>31</v>
      </c>
      <c r="C12">
        <v>150</v>
      </c>
      <c r="D12">
        <v>160</v>
      </c>
      <c r="E12" s="1">
        <v>0.27200000000000002</v>
      </c>
      <c r="F12">
        <v>31</v>
      </c>
      <c r="G12" s="2">
        <v>4800000</v>
      </c>
      <c r="H12" s="7">
        <f t="shared" si="1"/>
        <v>87</v>
      </c>
      <c r="I12" t="s">
        <v>141</v>
      </c>
      <c r="J12">
        <f t="shared" si="2"/>
        <v>0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1</v>
      </c>
      <c r="Q12">
        <f t="shared" si="3"/>
        <v>0</v>
      </c>
      <c r="R12">
        <f t="shared" si="4"/>
        <v>0</v>
      </c>
      <c r="S12">
        <v>3.4</v>
      </c>
      <c r="T12">
        <v>0</v>
      </c>
      <c r="U12">
        <v>0</v>
      </c>
      <c r="V12" s="5">
        <v>0</v>
      </c>
    </row>
    <row r="13" spans="1:35" x14ac:dyDescent="0.2">
      <c r="A13" t="s">
        <v>110</v>
      </c>
      <c r="B13" t="s">
        <v>65</v>
      </c>
      <c r="C13">
        <v>155</v>
      </c>
      <c r="D13">
        <v>153</v>
      </c>
      <c r="E13" s="26">
        <v>0.26200000000000001</v>
      </c>
      <c r="F13">
        <v>18</v>
      </c>
      <c r="G13" s="27">
        <v>760000</v>
      </c>
      <c r="H13" s="28">
        <f t="shared" si="1"/>
        <v>98</v>
      </c>
      <c r="I13" t="s">
        <v>121</v>
      </c>
      <c r="J13">
        <f t="shared" si="2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1</v>
      </c>
      <c r="P13">
        <f t="shared" si="0"/>
        <v>0</v>
      </c>
      <c r="Q13">
        <f t="shared" si="3"/>
        <v>1</v>
      </c>
      <c r="R13">
        <f t="shared" si="4"/>
        <v>0</v>
      </c>
      <c r="S13">
        <v>3.7</v>
      </c>
      <c r="T13">
        <v>0</v>
      </c>
      <c r="U13">
        <v>1</v>
      </c>
      <c r="V13" s="5">
        <v>1</v>
      </c>
    </row>
    <row r="14" spans="1:35" x14ac:dyDescent="0.2">
      <c r="A14" t="s">
        <v>18</v>
      </c>
      <c r="B14" t="s">
        <v>38</v>
      </c>
      <c r="C14">
        <v>136</v>
      </c>
      <c r="D14">
        <v>98</v>
      </c>
      <c r="E14" s="1">
        <v>0.19500000000000001</v>
      </c>
      <c r="F14">
        <v>14</v>
      </c>
      <c r="G14" s="2">
        <v>760000</v>
      </c>
      <c r="H14" s="7">
        <f t="shared" si="1"/>
        <v>98</v>
      </c>
      <c r="I14" t="s">
        <v>47</v>
      </c>
      <c r="J14">
        <f t="shared" si="2"/>
        <v>0</v>
      </c>
      <c r="K14">
        <f t="shared" si="0"/>
        <v>1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3"/>
        <v>0</v>
      </c>
      <c r="R14">
        <f t="shared" si="4"/>
        <v>0</v>
      </c>
      <c r="S14">
        <v>1.5</v>
      </c>
      <c r="T14">
        <v>1</v>
      </c>
      <c r="U14">
        <v>0</v>
      </c>
      <c r="V14" s="5">
        <v>0</v>
      </c>
      <c r="X14" t="s">
        <v>195</v>
      </c>
      <c r="Y14">
        <f>COUNTIFS(H2:H141,"&lt;=15",V2:V141,"=1")</f>
        <v>0</v>
      </c>
    </row>
    <row r="15" spans="1:35" x14ac:dyDescent="0.2">
      <c r="A15" t="s">
        <v>106</v>
      </c>
      <c r="B15" t="s">
        <v>29</v>
      </c>
      <c r="C15">
        <v>159</v>
      </c>
      <c r="D15">
        <v>186</v>
      </c>
      <c r="E15" s="26">
        <v>0.308</v>
      </c>
      <c r="F15">
        <v>31</v>
      </c>
      <c r="G15" s="27">
        <v>760000</v>
      </c>
      <c r="H15" s="28">
        <f t="shared" si="1"/>
        <v>98</v>
      </c>
      <c r="I15" t="s">
        <v>121</v>
      </c>
      <c r="J15">
        <f t="shared" si="2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1</v>
      </c>
      <c r="P15">
        <f t="shared" si="0"/>
        <v>0</v>
      </c>
      <c r="Q15">
        <f t="shared" si="3"/>
        <v>1</v>
      </c>
      <c r="R15">
        <f t="shared" si="4"/>
        <v>0</v>
      </c>
      <c r="S15">
        <v>7</v>
      </c>
      <c r="T15">
        <v>0</v>
      </c>
      <c r="U15">
        <v>1</v>
      </c>
      <c r="V15" s="5">
        <v>1</v>
      </c>
    </row>
    <row r="16" spans="1:35" x14ac:dyDescent="0.2">
      <c r="A16" t="s">
        <v>82</v>
      </c>
      <c r="B16" t="s">
        <v>83</v>
      </c>
      <c r="C16">
        <v>128</v>
      </c>
      <c r="D16">
        <v>112</v>
      </c>
      <c r="E16" s="1">
        <v>0.249</v>
      </c>
      <c r="F16">
        <v>24</v>
      </c>
      <c r="G16" s="2">
        <v>8700000</v>
      </c>
      <c r="H16" s="7">
        <f t="shared" si="1"/>
        <v>70</v>
      </c>
      <c r="I16" t="s">
        <v>100</v>
      </c>
      <c r="J16">
        <f t="shared" si="2"/>
        <v>0</v>
      </c>
      <c r="K16">
        <f t="shared" si="0"/>
        <v>0</v>
      </c>
      <c r="L16">
        <f t="shared" si="0"/>
        <v>0</v>
      </c>
      <c r="M16">
        <f t="shared" si="0"/>
        <v>1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3"/>
        <v>1</v>
      </c>
      <c r="R16">
        <f t="shared" si="4"/>
        <v>0</v>
      </c>
      <c r="S16">
        <v>2.5</v>
      </c>
      <c r="T16">
        <v>0</v>
      </c>
      <c r="U16">
        <v>0</v>
      </c>
      <c r="V16" s="5">
        <v>0</v>
      </c>
      <c r="X16" t="s">
        <v>213</v>
      </c>
      <c r="Y16">
        <f>COUNTIFS(V2:V141,1,G2:G141,"&gt;=2000000")</f>
        <v>0</v>
      </c>
    </row>
    <row r="17" spans="1:22" x14ac:dyDescent="0.2">
      <c r="A17" t="s">
        <v>93</v>
      </c>
      <c r="B17" t="s">
        <v>52</v>
      </c>
      <c r="C17">
        <v>140</v>
      </c>
      <c r="D17">
        <v>137</v>
      </c>
      <c r="E17" s="26">
        <v>0.26200000000000001</v>
      </c>
      <c r="F17">
        <v>12</v>
      </c>
      <c r="G17" s="27">
        <v>760000</v>
      </c>
      <c r="H17" s="28">
        <f t="shared" si="1"/>
        <v>98</v>
      </c>
      <c r="I17" t="s">
        <v>100</v>
      </c>
      <c r="J17">
        <f t="shared" si="2"/>
        <v>0</v>
      </c>
      <c r="K17">
        <f t="shared" si="0"/>
        <v>0</v>
      </c>
      <c r="L17">
        <f t="shared" si="0"/>
        <v>0</v>
      </c>
      <c r="M17">
        <f t="shared" si="0"/>
        <v>1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3"/>
        <v>1</v>
      </c>
      <c r="R17">
        <f t="shared" si="4"/>
        <v>0</v>
      </c>
      <c r="S17">
        <v>2.2999999999999998</v>
      </c>
      <c r="T17">
        <v>0</v>
      </c>
      <c r="U17">
        <v>0</v>
      </c>
      <c r="V17" s="5">
        <v>1</v>
      </c>
    </row>
    <row r="18" spans="1:22" x14ac:dyDescent="0.2">
      <c r="A18" t="s">
        <v>140</v>
      </c>
      <c r="B18" t="s">
        <v>39</v>
      </c>
      <c r="C18">
        <v>144</v>
      </c>
      <c r="D18">
        <v>140</v>
      </c>
      <c r="E18" s="1">
        <v>0.26300000000000001</v>
      </c>
      <c r="F18">
        <v>29</v>
      </c>
      <c r="G18" s="2">
        <v>760000</v>
      </c>
      <c r="H18" s="7">
        <f t="shared" si="1"/>
        <v>98</v>
      </c>
      <c r="I18" t="s">
        <v>141</v>
      </c>
      <c r="J18">
        <f t="shared" si="2"/>
        <v>0</v>
      </c>
      <c r="K18">
        <f t="shared" si="2"/>
        <v>0</v>
      </c>
      <c r="L18">
        <f t="shared" si="2"/>
        <v>0</v>
      </c>
      <c r="M18">
        <f t="shared" si="2"/>
        <v>0</v>
      </c>
      <c r="N18">
        <f t="shared" si="2"/>
        <v>0</v>
      </c>
      <c r="O18">
        <f t="shared" si="2"/>
        <v>0</v>
      </c>
      <c r="P18">
        <f t="shared" si="2"/>
        <v>1</v>
      </c>
      <c r="Q18">
        <f t="shared" si="3"/>
        <v>0</v>
      </c>
      <c r="R18">
        <f t="shared" si="4"/>
        <v>0</v>
      </c>
      <c r="S18">
        <v>2.1</v>
      </c>
      <c r="T18">
        <v>0</v>
      </c>
      <c r="U18">
        <v>0</v>
      </c>
      <c r="V18" s="5">
        <v>0</v>
      </c>
    </row>
    <row r="19" spans="1:22" x14ac:dyDescent="0.2">
      <c r="A19" t="s">
        <v>184</v>
      </c>
      <c r="B19" t="s">
        <v>45</v>
      </c>
      <c r="C19">
        <v>145</v>
      </c>
      <c r="D19">
        <v>141</v>
      </c>
      <c r="E19" s="26">
        <v>0.25900000000000001</v>
      </c>
      <c r="F19">
        <v>18</v>
      </c>
      <c r="G19" s="27">
        <v>760000</v>
      </c>
      <c r="H19" s="28">
        <f t="shared" si="1"/>
        <v>98</v>
      </c>
      <c r="I19" t="s">
        <v>186</v>
      </c>
      <c r="J19">
        <f t="shared" si="2"/>
        <v>1</v>
      </c>
      <c r="K19">
        <f t="shared" si="2"/>
        <v>0</v>
      </c>
      <c r="L19">
        <f t="shared" si="2"/>
        <v>0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3"/>
        <v>0</v>
      </c>
      <c r="R19">
        <f t="shared" si="4"/>
        <v>0</v>
      </c>
      <c r="S19">
        <v>2.4</v>
      </c>
      <c r="T19">
        <v>0</v>
      </c>
      <c r="U19">
        <v>0</v>
      </c>
      <c r="V19" s="5">
        <v>1</v>
      </c>
    </row>
    <row r="20" spans="1:22" x14ac:dyDescent="0.2">
      <c r="A20" t="s">
        <v>174</v>
      </c>
      <c r="B20" t="s">
        <v>40</v>
      </c>
      <c r="C20">
        <v>154</v>
      </c>
      <c r="D20">
        <v>165</v>
      </c>
      <c r="E20" s="1">
        <v>0.27700000000000002</v>
      </c>
      <c r="F20">
        <v>25</v>
      </c>
      <c r="G20" s="2">
        <v>13000000</v>
      </c>
      <c r="H20" s="7">
        <f t="shared" si="1"/>
        <v>45</v>
      </c>
      <c r="I20" t="s">
        <v>186</v>
      </c>
      <c r="J20">
        <f t="shared" si="2"/>
        <v>1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3"/>
        <v>0</v>
      </c>
      <c r="R20">
        <f t="shared" si="4"/>
        <v>0</v>
      </c>
      <c r="S20">
        <v>4</v>
      </c>
      <c r="T20">
        <v>0</v>
      </c>
      <c r="U20">
        <v>0</v>
      </c>
      <c r="V20" s="5">
        <v>0</v>
      </c>
    </row>
    <row r="21" spans="1:22" x14ac:dyDescent="0.2">
      <c r="A21" t="s">
        <v>67</v>
      </c>
      <c r="B21" t="s">
        <v>27</v>
      </c>
      <c r="C21">
        <v>155</v>
      </c>
      <c r="D21">
        <v>170</v>
      </c>
      <c r="E21" s="1">
        <v>0.28999999999999998</v>
      </c>
      <c r="F21">
        <v>34</v>
      </c>
      <c r="G21" s="2">
        <v>27000000</v>
      </c>
      <c r="H21" s="7">
        <f t="shared" si="1"/>
        <v>13</v>
      </c>
      <c r="I21" t="s">
        <v>76</v>
      </c>
      <c r="J21">
        <f t="shared" si="2"/>
        <v>0</v>
      </c>
      <c r="K21">
        <f t="shared" si="2"/>
        <v>0</v>
      </c>
      <c r="L21">
        <f t="shared" si="2"/>
        <v>1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3"/>
        <v>0</v>
      </c>
      <c r="R21">
        <f t="shared" si="4"/>
        <v>1</v>
      </c>
      <c r="S21">
        <v>6.2</v>
      </c>
      <c r="T21">
        <v>0</v>
      </c>
      <c r="U21">
        <v>1</v>
      </c>
      <c r="V21" s="5">
        <v>0</v>
      </c>
    </row>
    <row r="22" spans="1:22" x14ac:dyDescent="0.2">
      <c r="A22" t="s">
        <v>132</v>
      </c>
      <c r="B22" t="s">
        <v>44</v>
      </c>
      <c r="C22">
        <v>120</v>
      </c>
      <c r="D22">
        <v>118</v>
      </c>
      <c r="E22" s="1">
        <v>0.25700000000000001</v>
      </c>
      <c r="F22">
        <v>22</v>
      </c>
      <c r="G22" s="2">
        <v>15000000</v>
      </c>
      <c r="H22" s="7">
        <f t="shared" si="1"/>
        <v>41</v>
      </c>
      <c r="I22" t="s">
        <v>186</v>
      </c>
      <c r="J22">
        <f t="shared" si="2"/>
        <v>1</v>
      </c>
      <c r="K22">
        <f t="shared" si="2"/>
        <v>0</v>
      </c>
      <c r="L22">
        <f t="shared" si="2"/>
        <v>0</v>
      </c>
      <c r="M22">
        <f t="shared" si="2"/>
        <v>0</v>
      </c>
      <c r="N22">
        <f t="shared" si="2"/>
        <v>0</v>
      </c>
      <c r="O22">
        <f t="shared" si="2"/>
        <v>0</v>
      </c>
      <c r="P22">
        <f t="shared" si="2"/>
        <v>0</v>
      </c>
      <c r="Q22">
        <f t="shared" si="3"/>
        <v>0</v>
      </c>
      <c r="R22">
        <f t="shared" si="4"/>
        <v>0</v>
      </c>
      <c r="S22">
        <v>2</v>
      </c>
      <c r="T22">
        <v>0</v>
      </c>
      <c r="U22">
        <v>1</v>
      </c>
      <c r="V22" s="5">
        <v>0</v>
      </c>
    </row>
    <row r="23" spans="1:22" x14ac:dyDescent="0.2">
      <c r="A23" t="s">
        <v>10</v>
      </c>
      <c r="B23" t="s">
        <v>30</v>
      </c>
      <c r="C23">
        <v>150</v>
      </c>
      <c r="D23">
        <v>120</v>
      </c>
      <c r="E23" s="1">
        <v>0.247</v>
      </c>
      <c r="F23">
        <v>60</v>
      </c>
      <c r="G23" s="2">
        <v>17500000</v>
      </c>
      <c r="H23" s="7">
        <f t="shared" si="1"/>
        <v>35</v>
      </c>
      <c r="I23" t="s">
        <v>47</v>
      </c>
      <c r="J23">
        <f t="shared" si="2"/>
        <v>0</v>
      </c>
      <c r="K23">
        <f t="shared" si="2"/>
        <v>1</v>
      </c>
      <c r="L23">
        <f t="shared" si="2"/>
        <v>0</v>
      </c>
      <c r="M23">
        <f t="shared" si="2"/>
        <v>0</v>
      </c>
      <c r="N23">
        <f t="shared" si="2"/>
        <v>0</v>
      </c>
      <c r="O23">
        <f t="shared" si="2"/>
        <v>0</v>
      </c>
      <c r="P23">
        <f t="shared" si="2"/>
        <v>0</v>
      </c>
      <c r="Q23">
        <f t="shared" si="3"/>
        <v>0</v>
      </c>
      <c r="R23">
        <f t="shared" si="4"/>
        <v>0</v>
      </c>
      <c r="S23">
        <v>5.0999999999999996</v>
      </c>
      <c r="T23">
        <v>0</v>
      </c>
      <c r="U23">
        <v>0</v>
      </c>
      <c r="V23" s="5">
        <v>0</v>
      </c>
    </row>
    <row r="24" spans="1:22" x14ac:dyDescent="0.2">
      <c r="A24" t="s">
        <v>102</v>
      </c>
      <c r="B24" t="s">
        <v>44</v>
      </c>
      <c r="C24">
        <v>150</v>
      </c>
      <c r="D24">
        <v>160</v>
      </c>
      <c r="E24" s="1">
        <v>0.26800000000000002</v>
      </c>
      <c r="F24">
        <v>23</v>
      </c>
      <c r="G24" s="2">
        <v>33300000</v>
      </c>
      <c r="H24" s="7">
        <f t="shared" si="1"/>
        <v>5</v>
      </c>
      <c r="I24" t="s">
        <v>121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4.2</v>
      </c>
      <c r="T24">
        <v>0</v>
      </c>
      <c r="U24">
        <v>1</v>
      </c>
      <c r="V24" s="5">
        <v>0</v>
      </c>
    </row>
    <row r="25" spans="1:22" x14ac:dyDescent="0.2">
      <c r="A25" t="s">
        <v>68</v>
      </c>
      <c r="B25" t="s">
        <v>44</v>
      </c>
      <c r="C25">
        <v>124</v>
      </c>
      <c r="D25">
        <v>110</v>
      </c>
      <c r="E25" s="1">
        <v>0.23899999999999999</v>
      </c>
      <c r="F25">
        <v>19</v>
      </c>
      <c r="G25" s="2">
        <v>6000000</v>
      </c>
      <c r="H25" s="7">
        <f t="shared" si="1"/>
        <v>79</v>
      </c>
      <c r="I25" t="s">
        <v>76</v>
      </c>
      <c r="J25">
        <f t="shared" si="2"/>
        <v>0</v>
      </c>
      <c r="K25">
        <f t="shared" si="2"/>
        <v>0</v>
      </c>
      <c r="L25">
        <f t="shared" si="2"/>
        <v>1</v>
      </c>
      <c r="M25">
        <f t="shared" si="2"/>
        <v>0</v>
      </c>
      <c r="N25">
        <f t="shared" si="2"/>
        <v>0</v>
      </c>
      <c r="O25">
        <f t="shared" si="2"/>
        <v>0</v>
      </c>
      <c r="P25">
        <f t="shared" si="2"/>
        <v>0</v>
      </c>
      <c r="Q25">
        <f t="shared" si="3"/>
        <v>0</v>
      </c>
      <c r="R25">
        <f t="shared" si="4"/>
        <v>1</v>
      </c>
      <c r="S25">
        <v>1.1000000000000001</v>
      </c>
      <c r="T25">
        <v>0</v>
      </c>
      <c r="U25">
        <v>0</v>
      </c>
      <c r="V25" s="5">
        <v>0</v>
      </c>
    </row>
    <row r="26" spans="1:22" x14ac:dyDescent="0.2">
      <c r="A26" t="s">
        <v>157</v>
      </c>
      <c r="B26" t="s">
        <v>31</v>
      </c>
      <c r="C26">
        <v>146</v>
      </c>
      <c r="D26">
        <v>145</v>
      </c>
      <c r="E26" s="1">
        <v>0.26500000000000001</v>
      </c>
      <c r="F26">
        <v>18</v>
      </c>
      <c r="G26" s="2">
        <v>4500000</v>
      </c>
      <c r="H26" s="7">
        <f t="shared" si="1"/>
        <v>91</v>
      </c>
      <c r="I26" t="s">
        <v>186</v>
      </c>
      <c r="J26">
        <f t="shared" si="2"/>
        <v>1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3"/>
        <v>0</v>
      </c>
      <c r="R26">
        <f t="shared" si="4"/>
        <v>0</v>
      </c>
      <c r="S26">
        <v>3.1</v>
      </c>
      <c r="T26">
        <v>0</v>
      </c>
      <c r="U26">
        <v>0</v>
      </c>
      <c r="V26" s="5">
        <v>0</v>
      </c>
    </row>
    <row r="27" spans="1:22" x14ac:dyDescent="0.2">
      <c r="A27" t="s">
        <v>181</v>
      </c>
      <c r="B27" t="s">
        <v>36</v>
      </c>
      <c r="C27">
        <v>139</v>
      </c>
      <c r="D27">
        <v>132</v>
      </c>
      <c r="E27" s="1">
        <v>0.25900000000000001</v>
      </c>
      <c r="F27">
        <v>17</v>
      </c>
      <c r="G27" s="2">
        <v>7500000</v>
      </c>
      <c r="H27" s="7">
        <f t="shared" si="1"/>
        <v>76</v>
      </c>
      <c r="I27" t="s">
        <v>186</v>
      </c>
      <c r="J27">
        <f t="shared" si="2"/>
        <v>1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  <c r="P27">
        <f t="shared" si="2"/>
        <v>0</v>
      </c>
      <c r="Q27">
        <f t="shared" si="3"/>
        <v>0</v>
      </c>
      <c r="R27">
        <f t="shared" si="4"/>
        <v>0</v>
      </c>
      <c r="S27">
        <v>2.2999999999999998</v>
      </c>
      <c r="T27">
        <v>0</v>
      </c>
      <c r="U27">
        <v>0</v>
      </c>
      <c r="V27" s="5">
        <v>0</v>
      </c>
    </row>
    <row r="28" spans="1:22" x14ac:dyDescent="0.2">
      <c r="A28" t="s">
        <v>24</v>
      </c>
      <c r="B28" t="s">
        <v>44</v>
      </c>
      <c r="C28">
        <v>101</v>
      </c>
      <c r="D28">
        <v>82</v>
      </c>
      <c r="E28" s="1">
        <v>0.22600000000000001</v>
      </c>
      <c r="F28">
        <v>6</v>
      </c>
      <c r="G28" s="2">
        <v>10000000</v>
      </c>
      <c r="H28" s="7">
        <f t="shared" si="1"/>
        <v>64</v>
      </c>
      <c r="I28" t="s">
        <v>47</v>
      </c>
      <c r="J28">
        <f t="shared" si="2"/>
        <v>0</v>
      </c>
      <c r="K28">
        <f t="shared" si="2"/>
        <v>1</v>
      </c>
      <c r="L28">
        <f t="shared" si="2"/>
        <v>0</v>
      </c>
      <c r="M28">
        <f t="shared" si="2"/>
        <v>0</v>
      </c>
      <c r="N28">
        <f t="shared" si="2"/>
        <v>0</v>
      </c>
      <c r="O28">
        <f t="shared" si="2"/>
        <v>0</v>
      </c>
      <c r="P28">
        <f t="shared" si="2"/>
        <v>0</v>
      </c>
      <c r="Q28">
        <f t="shared" si="3"/>
        <v>0</v>
      </c>
      <c r="R28">
        <f t="shared" si="4"/>
        <v>0</v>
      </c>
      <c r="S28">
        <v>1</v>
      </c>
      <c r="T28">
        <v>0</v>
      </c>
      <c r="U28">
        <v>0</v>
      </c>
      <c r="V28" s="5">
        <v>0</v>
      </c>
    </row>
    <row r="29" spans="1:22" x14ac:dyDescent="0.2">
      <c r="A29" t="s">
        <v>55</v>
      </c>
      <c r="B29" t="s">
        <v>33</v>
      </c>
      <c r="C29">
        <v>155</v>
      </c>
      <c r="D29">
        <v>150</v>
      </c>
      <c r="E29" s="1">
        <v>0.25700000000000001</v>
      </c>
      <c r="F29">
        <v>32</v>
      </c>
      <c r="G29" s="2">
        <v>6500000</v>
      </c>
      <c r="H29" s="7">
        <f t="shared" si="1"/>
        <v>78</v>
      </c>
      <c r="I29" t="s">
        <v>76</v>
      </c>
      <c r="J29">
        <f t="shared" si="2"/>
        <v>0</v>
      </c>
      <c r="K29">
        <f t="shared" si="2"/>
        <v>0</v>
      </c>
      <c r="L29">
        <f t="shared" si="2"/>
        <v>1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3"/>
        <v>0</v>
      </c>
      <c r="R29">
        <f t="shared" si="4"/>
        <v>1</v>
      </c>
      <c r="S29">
        <v>3.6</v>
      </c>
      <c r="T29">
        <v>0</v>
      </c>
      <c r="U29">
        <v>0</v>
      </c>
      <c r="V29" s="5">
        <v>0</v>
      </c>
    </row>
    <row r="30" spans="1:22" x14ac:dyDescent="0.2">
      <c r="A30" t="s">
        <v>158</v>
      </c>
      <c r="B30" t="s">
        <v>32</v>
      </c>
      <c r="C30">
        <v>147</v>
      </c>
      <c r="D30">
        <v>151</v>
      </c>
      <c r="E30" s="1">
        <v>0.27200000000000002</v>
      </c>
      <c r="F30">
        <v>21</v>
      </c>
      <c r="G30" s="2">
        <v>26000000</v>
      </c>
      <c r="H30" s="7">
        <f t="shared" si="1"/>
        <v>15</v>
      </c>
      <c r="I30" t="s">
        <v>186</v>
      </c>
      <c r="J30">
        <f t="shared" si="2"/>
        <v>1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  <c r="P30">
        <f t="shared" si="2"/>
        <v>0</v>
      </c>
      <c r="Q30">
        <f t="shared" si="3"/>
        <v>0</v>
      </c>
      <c r="R30">
        <f t="shared" si="4"/>
        <v>0</v>
      </c>
      <c r="S30">
        <v>3.8</v>
      </c>
      <c r="T30">
        <v>0</v>
      </c>
      <c r="U30">
        <v>0</v>
      </c>
      <c r="V30" s="5">
        <v>0</v>
      </c>
    </row>
    <row r="31" spans="1:22" x14ac:dyDescent="0.2">
      <c r="A31" t="s">
        <v>98</v>
      </c>
      <c r="B31" t="s">
        <v>86</v>
      </c>
      <c r="C31">
        <v>141</v>
      </c>
      <c r="D31">
        <v>132</v>
      </c>
      <c r="E31" s="1">
        <v>0.254</v>
      </c>
      <c r="F31">
        <v>21</v>
      </c>
      <c r="G31" s="2">
        <v>760000</v>
      </c>
      <c r="H31" s="7">
        <f t="shared" si="1"/>
        <v>98</v>
      </c>
      <c r="I31" t="s">
        <v>100</v>
      </c>
      <c r="J31">
        <f t="shared" si="2"/>
        <v>0</v>
      </c>
      <c r="K31">
        <f t="shared" si="2"/>
        <v>0</v>
      </c>
      <c r="L31">
        <f t="shared" si="2"/>
        <v>0</v>
      </c>
      <c r="M31">
        <f t="shared" si="2"/>
        <v>1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3"/>
        <v>1</v>
      </c>
      <c r="R31">
        <f t="shared" si="4"/>
        <v>0</v>
      </c>
      <c r="S31">
        <v>2.2000000000000002</v>
      </c>
      <c r="T31">
        <v>0</v>
      </c>
      <c r="U31">
        <v>0</v>
      </c>
      <c r="V31" s="5">
        <v>0</v>
      </c>
    </row>
    <row r="32" spans="1:22" x14ac:dyDescent="0.2">
      <c r="A32" t="s">
        <v>112</v>
      </c>
      <c r="B32" t="s">
        <v>35</v>
      </c>
      <c r="C32">
        <v>150</v>
      </c>
      <c r="D32">
        <v>151</v>
      </c>
      <c r="E32" s="26">
        <v>0.26300000000000001</v>
      </c>
      <c r="F32">
        <v>22</v>
      </c>
      <c r="G32" s="27">
        <v>760000</v>
      </c>
      <c r="H32" s="28">
        <f t="shared" si="1"/>
        <v>98</v>
      </c>
      <c r="I32" t="s">
        <v>121</v>
      </c>
      <c r="J32">
        <f t="shared" si="2"/>
        <v>0</v>
      </c>
      <c r="K32">
        <f t="shared" si="2"/>
        <v>0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2"/>
        <v>1</v>
      </c>
      <c r="P32">
        <f t="shared" si="2"/>
        <v>0</v>
      </c>
      <c r="Q32">
        <f t="shared" si="3"/>
        <v>1</v>
      </c>
      <c r="R32">
        <f t="shared" si="4"/>
        <v>0</v>
      </c>
      <c r="S32">
        <v>3.6</v>
      </c>
      <c r="T32">
        <v>0</v>
      </c>
      <c r="U32">
        <v>0</v>
      </c>
      <c r="V32" s="5">
        <v>1</v>
      </c>
    </row>
    <row r="33" spans="1:22" x14ac:dyDescent="0.2">
      <c r="A33" t="s">
        <v>95</v>
      </c>
      <c r="B33" t="s">
        <v>96</v>
      </c>
      <c r="C33">
        <v>118</v>
      </c>
      <c r="D33">
        <v>104</v>
      </c>
      <c r="E33" s="1">
        <v>0.248</v>
      </c>
      <c r="F33">
        <v>9</v>
      </c>
      <c r="G33" s="2">
        <v>2000000</v>
      </c>
      <c r="H33" s="7">
        <f t="shared" si="1"/>
        <v>95</v>
      </c>
      <c r="I33" t="s">
        <v>100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1</v>
      </c>
      <c r="N33">
        <f t="shared" si="2"/>
        <v>0</v>
      </c>
      <c r="O33">
        <f t="shared" si="2"/>
        <v>0</v>
      </c>
      <c r="P33">
        <f t="shared" si="2"/>
        <v>0</v>
      </c>
      <c r="Q33">
        <f t="shared" si="3"/>
        <v>1</v>
      </c>
      <c r="R33">
        <f t="shared" si="4"/>
        <v>0</v>
      </c>
      <c r="S33">
        <v>0.7</v>
      </c>
      <c r="T33">
        <v>0</v>
      </c>
      <c r="U33">
        <v>0</v>
      </c>
      <c r="V33" s="5">
        <v>0</v>
      </c>
    </row>
    <row r="34" spans="1:22" x14ac:dyDescent="0.2">
      <c r="A34" t="s">
        <v>155</v>
      </c>
      <c r="B34" t="s">
        <v>33</v>
      </c>
      <c r="C34">
        <v>153</v>
      </c>
      <c r="D34">
        <v>161</v>
      </c>
      <c r="E34" s="1">
        <v>0.27800000000000002</v>
      </c>
      <c r="F34">
        <v>19</v>
      </c>
      <c r="G34" s="2">
        <v>11100000</v>
      </c>
      <c r="H34" s="7">
        <f t="shared" si="1"/>
        <v>60</v>
      </c>
      <c r="I34" t="s">
        <v>186</v>
      </c>
      <c r="J34">
        <f t="shared" si="2"/>
        <v>1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2"/>
        <v>0</v>
      </c>
      <c r="P34">
        <f t="shared" si="2"/>
        <v>0</v>
      </c>
      <c r="Q34">
        <f t="shared" si="3"/>
        <v>0</v>
      </c>
      <c r="R34">
        <f t="shared" si="4"/>
        <v>0</v>
      </c>
      <c r="S34">
        <v>5.2</v>
      </c>
      <c r="T34">
        <v>0</v>
      </c>
      <c r="U34">
        <v>0</v>
      </c>
      <c r="V34" s="5">
        <v>0</v>
      </c>
    </row>
    <row r="35" spans="1:22" x14ac:dyDescent="0.2">
      <c r="A35" t="s">
        <v>103</v>
      </c>
      <c r="B35" t="s">
        <v>34</v>
      </c>
      <c r="C35">
        <v>144</v>
      </c>
      <c r="D35">
        <v>165</v>
      </c>
      <c r="E35" s="1">
        <v>0.28699999999999998</v>
      </c>
      <c r="F35">
        <v>30</v>
      </c>
      <c r="G35" s="2">
        <v>32500000</v>
      </c>
      <c r="H35" s="7">
        <f t="shared" si="1"/>
        <v>6</v>
      </c>
      <c r="I35" t="s">
        <v>121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5.5</v>
      </c>
      <c r="T35">
        <v>0</v>
      </c>
      <c r="U35">
        <v>1</v>
      </c>
      <c r="V35" s="5">
        <v>0</v>
      </c>
    </row>
    <row r="36" spans="1:22" x14ac:dyDescent="0.2">
      <c r="A36" t="s">
        <v>105</v>
      </c>
      <c r="B36" t="s">
        <v>86</v>
      </c>
      <c r="C36">
        <v>148</v>
      </c>
      <c r="D36">
        <v>151</v>
      </c>
      <c r="E36" s="1">
        <v>0.26300000000000001</v>
      </c>
      <c r="F36">
        <v>20</v>
      </c>
      <c r="G36" s="2">
        <v>25000000</v>
      </c>
      <c r="H36" s="7">
        <f t="shared" si="1"/>
        <v>17</v>
      </c>
      <c r="I36" t="s">
        <v>121</v>
      </c>
      <c r="J36">
        <f t="shared" si="2"/>
        <v>0</v>
      </c>
      <c r="K36">
        <f t="shared" si="2"/>
        <v>0</v>
      </c>
      <c r="L36">
        <f t="shared" si="2"/>
        <v>0</v>
      </c>
      <c r="M36">
        <f t="shared" si="2"/>
        <v>0</v>
      </c>
      <c r="N36">
        <f t="shared" si="2"/>
        <v>0</v>
      </c>
      <c r="O36">
        <f t="shared" si="2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4</v>
      </c>
      <c r="T36">
        <v>0</v>
      </c>
      <c r="U36">
        <v>1</v>
      </c>
      <c r="V36" s="5">
        <v>0</v>
      </c>
    </row>
    <row r="37" spans="1:22" x14ac:dyDescent="0.2">
      <c r="A37" t="s">
        <v>168</v>
      </c>
      <c r="B37" t="s">
        <v>37</v>
      </c>
      <c r="C37">
        <v>147</v>
      </c>
      <c r="D37">
        <v>145</v>
      </c>
      <c r="E37" s="1">
        <v>0.26400000000000001</v>
      </c>
      <c r="F37">
        <v>24</v>
      </c>
      <c r="G37" s="2">
        <v>4900000</v>
      </c>
      <c r="H37" s="7">
        <f t="shared" si="1"/>
        <v>85</v>
      </c>
      <c r="I37" t="s">
        <v>186</v>
      </c>
      <c r="J37">
        <f t="shared" si="2"/>
        <v>1</v>
      </c>
      <c r="K37">
        <f t="shared" si="2"/>
        <v>0</v>
      </c>
      <c r="L37">
        <f t="shared" si="2"/>
        <v>0</v>
      </c>
      <c r="M37">
        <f t="shared" si="2"/>
        <v>0</v>
      </c>
      <c r="N37">
        <f t="shared" si="2"/>
        <v>0</v>
      </c>
      <c r="O37">
        <f t="shared" si="2"/>
        <v>0</v>
      </c>
      <c r="P37">
        <f t="shared" si="2"/>
        <v>0</v>
      </c>
      <c r="Q37">
        <f t="shared" si="3"/>
        <v>0</v>
      </c>
      <c r="R37">
        <f t="shared" si="4"/>
        <v>0</v>
      </c>
      <c r="S37">
        <v>3</v>
      </c>
      <c r="T37">
        <v>0</v>
      </c>
      <c r="U37">
        <v>0</v>
      </c>
      <c r="V37" s="5">
        <v>0</v>
      </c>
    </row>
    <row r="38" spans="1:22" x14ac:dyDescent="0.2">
      <c r="A38" t="s">
        <v>66</v>
      </c>
      <c r="B38" t="s">
        <v>65</v>
      </c>
      <c r="C38">
        <v>120</v>
      </c>
      <c r="D38">
        <v>112</v>
      </c>
      <c r="E38" s="1">
        <v>0.26400000000000001</v>
      </c>
      <c r="F38">
        <v>15</v>
      </c>
      <c r="G38" s="2">
        <v>15000000</v>
      </c>
      <c r="H38" s="7">
        <f t="shared" si="1"/>
        <v>41</v>
      </c>
      <c r="I38" t="s">
        <v>100</v>
      </c>
      <c r="J38">
        <f t="shared" si="2"/>
        <v>0</v>
      </c>
      <c r="K38">
        <f t="shared" si="2"/>
        <v>0</v>
      </c>
      <c r="L38">
        <f t="shared" si="2"/>
        <v>0</v>
      </c>
      <c r="M38">
        <f t="shared" si="2"/>
        <v>1</v>
      </c>
      <c r="N38">
        <f t="shared" si="2"/>
        <v>0</v>
      </c>
      <c r="O38">
        <f t="shared" si="2"/>
        <v>0</v>
      </c>
      <c r="P38">
        <f t="shared" si="2"/>
        <v>0</v>
      </c>
      <c r="Q38">
        <f t="shared" si="3"/>
        <v>1</v>
      </c>
      <c r="R38">
        <f t="shared" si="4"/>
        <v>0</v>
      </c>
      <c r="S38">
        <v>2</v>
      </c>
      <c r="T38">
        <v>0</v>
      </c>
      <c r="U38">
        <v>0</v>
      </c>
      <c r="V38" s="5">
        <v>0</v>
      </c>
    </row>
    <row r="39" spans="1:22" x14ac:dyDescent="0.2">
      <c r="A39" t="s">
        <v>94</v>
      </c>
      <c r="B39" t="s">
        <v>44</v>
      </c>
      <c r="C39">
        <v>135</v>
      </c>
      <c r="D39">
        <v>128</v>
      </c>
      <c r="E39" s="26">
        <v>0.25900000000000001</v>
      </c>
      <c r="F39">
        <v>18</v>
      </c>
      <c r="G39" s="27">
        <v>760000</v>
      </c>
      <c r="H39" s="28">
        <f t="shared" si="1"/>
        <v>98</v>
      </c>
      <c r="I39" t="s">
        <v>187</v>
      </c>
      <c r="J39">
        <f t="shared" si="2"/>
        <v>0</v>
      </c>
      <c r="K39">
        <f t="shared" si="2"/>
        <v>0</v>
      </c>
      <c r="L39">
        <f t="shared" si="2"/>
        <v>0</v>
      </c>
      <c r="M39">
        <f t="shared" si="2"/>
        <v>0</v>
      </c>
      <c r="N39">
        <f t="shared" si="2"/>
        <v>1</v>
      </c>
      <c r="O39">
        <f t="shared" si="2"/>
        <v>0</v>
      </c>
      <c r="P39">
        <f t="shared" si="2"/>
        <v>0</v>
      </c>
      <c r="Q39">
        <f t="shared" si="3"/>
        <v>0</v>
      </c>
      <c r="R39">
        <f t="shared" si="4"/>
        <v>1</v>
      </c>
      <c r="S39">
        <v>2.5</v>
      </c>
      <c r="T39">
        <v>1</v>
      </c>
      <c r="U39">
        <v>0</v>
      </c>
      <c r="V39" s="5">
        <v>1</v>
      </c>
    </row>
    <row r="40" spans="1:22" x14ac:dyDescent="0.2">
      <c r="A40" t="s">
        <v>25</v>
      </c>
      <c r="B40" t="s">
        <v>45</v>
      </c>
      <c r="C40">
        <v>135</v>
      </c>
      <c r="D40">
        <v>137</v>
      </c>
      <c r="E40" s="1">
        <v>0.28399999999999997</v>
      </c>
      <c r="F40">
        <v>14</v>
      </c>
      <c r="G40" s="2">
        <v>6000000</v>
      </c>
      <c r="H40" s="7">
        <f t="shared" si="1"/>
        <v>79</v>
      </c>
      <c r="I40" t="s">
        <v>47</v>
      </c>
      <c r="J40">
        <f t="shared" si="2"/>
        <v>0</v>
      </c>
      <c r="K40">
        <f t="shared" si="2"/>
        <v>1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  <c r="P40">
        <f t="shared" si="2"/>
        <v>0</v>
      </c>
      <c r="Q40">
        <f t="shared" si="3"/>
        <v>0</v>
      </c>
      <c r="R40">
        <f t="shared" si="4"/>
        <v>0</v>
      </c>
      <c r="S40">
        <v>2.8</v>
      </c>
      <c r="T40">
        <v>0</v>
      </c>
      <c r="U40">
        <v>0</v>
      </c>
      <c r="V40" s="5">
        <v>0</v>
      </c>
    </row>
    <row r="41" spans="1:22" x14ac:dyDescent="0.2">
      <c r="A41" t="s">
        <v>113</v>
      </c>
      <c r="B41" t="s">
        <v>42</v>
      </c>
      <c r="C41">
        <v>154</v>
      </c>
      <c r="D41">
        <v>161</v>
      </c>
      <c r="E41" s="26">
        <v>0.26900000000000002</v>
      </c>
      <c r="F41">
        <v>26</v>
      </c>
      <c r="G41" s="27">
        <v>760000</v>
      </c>
      <c r="H41" s="28">
        <f t="shared" si="1"/>
        <v>98</v>
      </c>
      <c r="I41" t="s">
        <v>121</v>
      </c>
      <c r="J41">
        <f t="shared" si="2"/>
        <v>0</v>
      </c>
      <c r="K41">
        <f t="shared" si="2"/>
        <v>0</v>
      </c>
      <c r="L41">
        <f t="shared" si="2"/>
        <v>0</v>
      </c>
      <c r="M41">
        <f t="shared" si="2"/>
        <v>0</v>
      </c>
      <c r="N41">
        <f t="shared" si="2"/>
        <v>0</v>
      </c>
      <c r="O41">
        <f t="shared" si="2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4.5</v>
      </c>
      <c r="T41">
        <v>0</v>
      </c>
      <c r="U41">
        <v>0</v>
      </c>
      <c r="V41" s="5">
        <v>1</v>
      </c>
    </row>
    <row r="42" spans="1:22" x14ac:dyDescent="0.2">
      <c r="A42" t="s">
        <v>127</v>
      </c>
      <c r="B42" t="s">
        <v>70</v>
      </c>
      <c r="C42">
        <v>135</v>
      </c>
      <c r="D42">
        <v>138</v>
      </c>
      <c r="E42" s="1">
        <v>0.26800000000000002</v>
      </c>
      <c r="F42">
        <v>27</v>
      </c>
      <c r="G42" s="2">
        <v>13000000</v>
      </c>
      <c r="H42" s="7">
        <f t="shared" si="1"/>
        <v>45</v>
      </c>
      <c r="I42" t="s">
        <v>141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P42">
        <f t="shared" si="2"/>
        <v>1</v>
      </c>
      <c r="Q42">
        <f t="shared" si="3"/>
        <v>0</v>
      </c>
      <c r="R42">
        <f t="shared" si="4"/>
        <v>0</v>
      </c>
      <c r="S42">
        <v>1.9</v>
      </c>
      <c r="T42">
        <v>0</v>
      </c>
      <c r="U42">
        <v>0</v>
      </c>
      <c r="V42" s="5">
        <v>0</v>
      </c>
    </row>
    <row r="43" spans="1:22" x14ac:dyDescent="0.2">
      <c r="A43" t="s">
        <v>150</v>
      </c>
      <c r="B43" t="s">
        <v>89</v>
      </c>
      <c r="C43">
        <v>150</v>
      </c>
      <c r="D43">
        <v>164</v>
      </c>
      <c r="E43" s="1">
        <v>0.28100000000000003</v>
      </c>
      <c r="F43">
        <v>30</v>
      </c>
      <c r="G43" s="2">
        <v>24000000</v>
      </c>
      <c r="H43" s="7">
        <f t="shared" si="1"/>
        <v>21</v>
      </c>
      <c r="I43" t="s">
        <v>186</v>
      </c>
      <c r="J43">
        <f t="shared" si="2"/>
        <v>1</v>
      </c>
      <c r="K43">
        <f t="shared" si="2"/>
        <v>0</v>
      </c>
      <c r="L43">
        <f t="shared" si="2"/>
        <v>0</v>
      </c>
      <c r="M43">
        <f t="shared" si="2"/>
        <v>0</v>
      </c>
      <c r="N43">
        <f t="shared" si="2"/>
        <v>0</v>
      </c>
      <c r="O43">
        <f t="shared" si="2"/>
        <v>0</v>
      </c>
      <c r="P43">
        <f t="shared" si="2"/>
        <v>0</v>
      </c>
      <c r="Q43">
        <f t="shared" si="3"/>
        <v>0</v>
      </c>
      <c r="R43">
        <f t="shared" si="4"/>
        <v>0</v>
      </c>
      <c r="S43">
        <v>6</v>
      </c>
      <c r="T43">
        <v>0</v>
      </c>
      <c r="U43">
        <v>0</v>
      </c>
      <c r="V43" s="5">
        <v>0</v>
      </c>
    </row>
    <row r="44" spans="1:22" x14ac:dyDescent="0.2">
      <c r="A44" t="s">
        <v>23</v>
      </c>
      <c r="B44" t="s">
        <v>43</v>
      </c>
      <c r="C44">
        <v>130</v>
      </c>
      <c r="D44">
        <v>108</v>
      </c>
      <c r="E44" s="1">
        <v>0.23799999999999999</v>
      </c>
      <c r="F44">
        <v>22</v>
      </c>
      <c r="G44" s="2">
        <v>760000</v>
      </c>
      <c r="H44" s="7">
        <f t="shared" si="1"/>
        <v>98</v>
      </c>
      <c r="I44" t="s">
        <v>47</v>
      </c>
      <c r="J44">
        <f t="shared" si="2"/>
        <v>0</v>
      </c>
      <c r="K44">
        <f t="shared" si="2"/>
        <v>1</v>
      </c>
      <c r="L44">
        <f t="shared" si="2"/>
        <v>0</v>
      </c>
      <c r="M44">
        <f t="shared" si="2"/>
        <v>0</v>
      </c>
      <c r="N44">
        <f t="shared" si="2"/>
        <v>0</v>
      </c>
      <c r="O44">
        <f t="shared" si="2"/>
        <v>0</v>
      </c>
      <c r="P44">
        <f t="shared" si="2"/>
        <v>0</v>
      </c>
      <c r="Q44">
        <f t="shared" si="3"/>
        <v>0</v>
      </c>
      <c r="R44">
        <f t="shared" si="4"/>
        <v>0</v>
      </c>
      <c r="S44">
        <v>2.6</v>
      </c>
      <c r="T44">
        <v>0</v>
      </c>
      <c r="U44">
        <v>0</v>
      </c>
      <c r="V44" s="5">
        <v>0</v>
      </c>
    </row>
    <row r="45" spans="1:22" x14ac:dyDescent="0.2">
      <c r="A45" t="s">
        <v>101</v>
      </c>
      <c r="B45" t="s">
        <v>43</v>
      </c>
      <c r="C45">
        <v>158</v>
      </c>
      <c r="D45">
        <v>172</v>
      </c>
      <c r="E45" s="1">
        <v>0.27900000000000003</v>
      </c>
      <c r="F45">
        <v>29</v>
      </c>
      <c r="G45" s="2">
        <v>34100000</v>
      </c>
      <c r="H45" s="7">
        <f t="shared" si="1"/>
        <v>4</v>
      </c>
      <c r="I45" t="s">
        <v>121</v>
      </c>
      <c r="J45">
        <f t="shared" si="2"/>
        <v>0</v>
      </c>
      <c r="K45">
        <f t="shared" si="2"/>
        <v>0</v>
      </c>
      <c r="L45">
        <f t="shared" si="2"/>
        <v>0</v>
      </c>
      <c r="M45">
        <f t="shared" si="2"/>
        <v>0</v>
      </c>
      <c r="N45">
        <f t="shared" si="2"/>
        <v>0</v>
      </c>
      <c r="O45">
        <f t="shared" si="2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6.3</v>
      </c>
      <c r="T45">
        <v>0</v>
      </c>
      <c r="U45">
        <v>0</v>
      </c>
      <c r="V45" s="5">
        <v>0</v>
      </c>
    </row>
    <row r="46" spans="1:22" x14ac:dyDescent="0.2">
      <c r="A46" t="s">
        <v>48</v>
      </c>
      <c r="B46" t="s">
        <v>28</v>
      </c>
      <c r="C46">
        <v>156</v>
      </c>
      <c r="D46">
        <v>190</v>
      </c>
      <c r="E46" s="1">
        <v>0.30399999999999999</v>
      </c>
      <c r="F46">
        <v>28</v>
      </c>
      <c r="G46" s="2">
        <v>27000000</v>
      </c>
      <c r="H46" s="7">
        <f t="shared" si="1"/>
        <v>13</v>
      </c>
      <c r="I46" t="s">
        <v>76</v>
      </c>
      <c r="J46">
        <f t="shared" si="2"/>
        <v>0</v>
      </c>
      <c r="K46">
        <f t="shared" si="2"/>
        <v>0</v>
      </c>
      <c r="L46">
        <f t="shared" si="2"/>
        <v>1</v>
      </c>
      <c r="M46">
        <f t="shared" si="2"/>
        <v>0</v>
      </c>
      <c r="N46">
        <f t="shared" si="2"/>
        <v>0</v>
      </c>
      <c r="O46">
        <f t="shared" si="2"/>
        <v>0</v>
      </c>
      <c r="P46">
        <f t="shared" si="2"/>
        <v>0</v>
      </c>
      <c r="Q46">
        <f t="shared" si="3"/>
        <v>0</v>
      </c>
      <c r="R46">
        <f t="shared" si="4"/>
        <v>1</v>
      </c>
      <c r="S46">
        <v>5.5</v>
      </c>
      <c r="T46">
        <v>1</v>
      </c>
      <c r="U46">
        <v>0</v>
      </c>
      <c r="V46" s="5">
        <v>0</v>
      </c>
    </row>
    <row r="47" spans="1:22" x14ac:dyDescent="0.2">
      <c r="A47" t="s">
        <v>13</v>
      </c>
      <c r="B47" t="s">
        <v>33</v>
      </c>
      <c r="C47">
        <v>139</v>
      </c>
      <c r="D47">
        <v>147</v>
      </c>
      <c r="E47" s="1">
        <v>0.28499999999999998</v>
      </c>
      <c r="F47">
        <v>9</v>
      </c>
      <c r="G47" s="2">
        <v>760000</v>
      </c>
      <c r="H47" s="7">
        <f t="shared" si="1"/>
        <v>98</v>
      </c>
      <c r="I47" t="s">
        <v>47</v>
      </c>
      <c r="J47">
        <f t="shared" si="2"/>
        <v>0</v>
      </c>
      <c r="K47">
        <f t="shared" si="2"/>
        <v>1</v>
      </c>
      <c r="L47">
        <f t="shared" si="2"/>
        <v>0</v>
      </c>
      <c r="M47">
        <f t="shared" si="2"/>
        <v>0</v>
      </c>
      <c r="N47">
        <f t="shared" si="2"/>
        <v>0</v>
      </c>
      <c r="O47">
        <f t="shared" si="2"/>
        <v>0</v>
      </c>
      <c r="P47">
        <f t="shared" si="2"/>
        <v>0</v>
      </c>
      <c r="Q47">
        <f t="shared" si="3"/>
        <v>0</v>
      </c>
      <c r="R47">
        <f t="shared" si="4"/>
        <v>0</v>
      </c>
      <c r="S47">
        <v>3.6</v>
      </c>
      <c r="T47">
        <v>0</v>
      </c>
      <c r="U47">
        <v>0</v>
      </c>
      <c r="V47" s="5">
        <v>1</v>
      </c>
    </row>
    <row r="48" spans="1:22" x14ac:dyDescent="0.2">
      <c r="A48" t="s">
        <v>153</v>
      </c>
      <c r="B48" t="s">
        <v>37</v>
      </c>
      <c r="C48">
        <v>148</v>
      </c>
      <c r="D48">
        <v>152</v>
      </c>
      <c r="E48" s="1">
        <v>0.27</v>
      </c>
      <c r="F48">
        <v>23</v>
      </c>
      <c r="G48" s="2">
        <v>25000000</v>
      </c>
      <c r="H48" s="7">
        <f t="shared" si="1"/>
        <v>17</v>
      </c>
      <c r="I48" t="s">
        <v>186</v>
      </c>
      <c r="J48">
        <f t="shared" si="2"/>
        <v>1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2"/>
        <v>0</v>
      </c>
      <c r="P48">
        <f t="shared" si="2"/>
        <v>0</v>
      </c>
      <c r="Q48">
        <f t="shared" si="3"/>
        <v>0</v>
      </c>
      <c r="R48">
        <f t="shared" si="4"/>
        <v>0</v>
      </c>
      <c r="S48">
        <v>3.2</v>
      </c>
      <c r="T48">
        <v>0</v>
      </c>
      <c r="U48">
        <v>1</v>
      </c>
      <c r="V48" s="5">
        <v>0</v>
      </c>
    </row>
    <row r="49" spans="1:22" x14ac:dyDescent="0.2">
      <c r="A49" t="s">
        <v>125</v>
      </c>
      <c r="B49" t="s">
        <v>65</v>
      </c>
      <c r="C49">
        <v>140</v>
      </c>
      <c r="D49">
        <v>128</v>
      </c>
      <c r="E49" s="1">
        <v>0.246</v>
      </c>
      <c r="F49">
        <v>35</v>
      </c>
      <c r="G49" s="2">
        <v>32000000</v>
      </c>
      <c r="H49" s="7">
        <f t="shared" si="1"/>
        <v>7</v>
      </c>
      <c r="I49" t="s">
        <v>141</v>
      </c>
      <c r="J49">
        <f t="shared" si="2"/>
        <v>0</v>
      </c>
      <c r="K49">
        <f t="shared" si="2"/>
        <v>0</v>
      </c>
      <c r="L49">
        <f t="shared" si="2"/>
        <v>0</v>
      </c>
      <c r="M49">
        <f t="shared" si="2"/>
        <v>0</v>
      </c>
      <c r="N49">
        <f t="shared" si="2"/>
        <v>0</v>
      </c>
      <c r="O49">
        <f t="shared" si="2"/>
        <v>0</v>
      </c>
      <c r="P49">
        <f t="shared" si="2"/>
        <v>1</v>
      </c>
      <c r="Q49">
        <f t="shared" si="3"/>
        <v>0</v>
      </c>
      <c r="R49">
        <f t="shared" si="4"/>
        <v>0</v>
      </c>
      <c r="S49">
        <v>2.1</v>
      </c>
      <c r="T49">
        <v>0</v>
      </c>
      <c r="U49">
        <v>0</v>
      </c>
      <c r="V49" s="5">
        <v>0</v>
      </c>
    </row>
    <row r="50" spans="1:22" x14ac:dyDescent="0.2">
      <c r="A50" t="s">
        <v>80</v>
      </c>
      <c r="B50" t="s">
        <v>65</v>
      </c>
      <c r="C50">
        <v>146</v>
      </c>
      <c r="D50">
        <v>152</v>
      </c>
      <c r="E50" s="1">
        <v>0.26600000000000001</v>
      </c>
      <c r="F50">
        <v>25</v>
      </c>
      <c r="G50" s="2">
        <v>14900000</v>
      </c>
      <c r="H50" s="7">
        <f t="shared" si="1"/>
        <v>43</v>
      </c>
      <c r="I50" t="s">
        <v>100</v>
      </c>
      <c r="J50">
        <f t="shared" si="2"/>
        <v>0</v>
      </c>
      <c r="K50">
        <f t="shared" si="2"/>
        <v>0</v>
      </c>
      <c r="L50">
        <f t="shared" si="2"/>
        <v>0</v>
      </c>
      <c r="M50">
        <f t="shared" si="2"/>
        <v>1</v>
      </c>
      <c r="N50">
        <f t="shared" si="2"/>
        <v>0</v>
      </c>
      <c r="O50">
        <f t="shared" si="2"/>
        <v>0</v>
      </c>
      <c r="P50">
        <f t="shared" si="2"/>
        <v>0</v>
      </c>
      <c r="Q50">
        <f t="shared" si="3"/>
        <v>1</v>
      </c>
      <c r="R50">
        <f t="shared" si="4"/>
        <v>0</v>
      </c>
      <c r="S50">
        <v>3.2</v>
      </c>
      <c r="T50">
        <v>0</v>
      </c>
      <c r="U50">
        <v>0</v>
      </c>
      <c r="V50" s="5">
        <v>0</v>
      </c>
    </row>
    <row r="51" spans="1:22" x14ac:dyDescent="0.2">
      <c r="A51" t="s">
        <v>134</v>
      </c>
      <c r="B51" t="s">
        <v>83</v>
      </c>
      <c r="C51">
        <v>138</v>
      </c>
      <c r="D51">
        <v>144</v>
      </c>
      <c r="E51" s="1">
        <v>0.27800000000000002</v>
      </c>
      <c r="F51">
        <v>14</v>
      </c>
      <c r="G51" s="2">
        <v>2200000</v>
      </c>
      <c r="H51" s="7">
        <f t="shared" si="1"/>
        <v>94</v>
      </c>
      <c r="I51" t="s">
        <v>141</v>
      </c>
      <c r="J51">
        <f t="shared" si="2"/>
        <v>0</v>
      </c>
      <c r="K51">
        <f t="shared" si="2"/>
        <v>0</v>
      </c>
      <c r="L51">
        <f t="shared" si="2"/>
        <v>0</v>
      </c>
      <c r="M51">
        <f t="shared" si="2"/>
        <v>0</v>
      </c>
      <c r="N51">
        <f t="shared" si="2"/>
        <v>0</v>
      </c>
      <c r="O51">
        <f t="shared" si="2"/>
        <v>0</v>
      </c>
      <c r="P51">
        <f t="shared" si="2"/>
        <v>1</v>
      </c>
      <c r="Q51">
        <f t="shared" si="3"/>
        <v>0</v>
      </c>
      <c r="R51">
        <f t="shared" si="4"/>
        <v>0</v>
      </c>
      <c r="S51">
        <v>1.5</v>
      </c>
      <c r="T51">
        <v>0</v>
      </c>
      <c r="U51">
        <v>0</v>
      </c>
      <c r="V51" s="5">
        <v>0</v>
      </c>
    </row>
    <row r="52" spans="1:22" x14ac:dyDescent="0.2">
      <c r="A52" t="s">
        <v>180</v>
      </c>
      <c r="B52" t="s">
        <v>43</v>
      </c>
      <c r="C52">
        <v>120</v>
      </c>
      <c r="D52">
        <v>110</v>
      </c>
      <c r="E52" s="1">
        <v>0.252</v>
      </c>
      <c r="F52">
        <v>10</v>
      </c>
      <c r="G52" s="2">
        <v>4950000</v>
      </c>
      <c r="H52" s="7">
        <f t="shared" si="1"/>
        <v>84</v>
      </c>
      <c r="I52" t="s">
        <v>187</v>
      </c>
      <c r="J52">
        <f t="shared" si="2"/>
        <v>0</v>
      </c>
      <c r="K52">
        <f t="shared" si="2"/>
        <v>0</v>
      </c>
      <c r="L52">
        <f t="shared" ref="K52:P94" si="6">IF($I52=L$1,1,0)</f>
        <v>0</v>
      </c>
      <c r="M52">
        <f t="shared" si="6"/>
        <v>0</v>
      </c>
      <c r="N52">
        <f t="shared" si="6"/>
        <v>1</v>
      </c>
      <c r="O52">
        <f t="shared" si="6"/>
        <v>0</v>
      </c>
      <c r="P52">
        <f t="shared" si="6"/>
        <v>0</v>
      </c>
      <c r="Q52">
        <f t="shared" si="3"/>
        <v>0</v>
      </c>
      <c r="R52">
        <f t="shared" si="4"/>
        <v>1</v>
      </c>
      <c r="S52">
        <v>1.2</v>
      </c>
      <c r="T52">
        <v>0</v>
      </c>
      <c r="U52">
        <v>0</v>
      </c>
      <c r="V52" s="5">
        <v>0</v>
      </c>
    </row>
    <row r="53" spans="1:22" x14ac:dyDescent="0.2">
      <c r="A53" t="s">
        <v>97</v>
      </c>
      <c r="B53" t="s">
        <v>89</v>
      </c>
      <c r="C53">
        <v>148</v>
      </c>
      <c r="D53">
        <v>146</v>
      </c>
      <c r="E53" s="1">
        <v>0.26800000000000002</v>
      </c>
      <c r="F53">
        <v>19</v>
      </c>
      <c r="G53" s="2">
        <v>8000000</v>
      </c>
      <c r="H53" s="7">
        <f t="shared" si="1"/>
        <v>73</v>
      </c>
      <c r="I53" t="s">
        <v>121</v>
      </c>
      <c r="J53">
        <f t="shared" ref="J53:P116" si="7">IF($I53=J$1,1,0)</f>
        <v>0</v>
      </c>
      <c r="K53">
        <f t="shared" si="6"/>
        <v>0</v>
      </c>
      <c r="L53">
        <f t="shared" si="6"/>
        <v>0</v>
      </c>
      <c r="M53">
        <f t="shared" si="6"/>
        <v>0</v>
      </c>
      <c r="N53">
        <f t="shared" si="6"/>
        <v>0</v>
      </c>
      <c r="O53">
        <f t="shared" si="6"/>
        <v>1</v>
      </c>
      <c r="P53">
        <f t="shared" si="6"/>
        <v>0</v>
      </c>
      <c r="Q53">
        <f t="shared" si="3"/>
        <v>1</v>
      </c>
      <c r="R53">
        <f t="shared" si="4"/>
        <v>0</v>
      </c>
      <c r="S53">
        <v>3.6</v>
      </c>
      <c r="T53">
        <v>0</v>
      </c>
      <c r="U53">
        <v>0</v>
      </c>
      <c r="V53" s="5">
        <v>0</v>
      </c>
    </row>
    <row r="54" spans="1:22" x14ac:dyDescent="0.2">
      <c r="A54" t="s">
        <v>20</v>
      </c>
      <c r="B54" t="s">
        <v>40</v>
      </c>
      <c r="C54">
        <v>138</v>
      </c>
      <c r="D54">
        <v>124</v>
      </c>
      <c r="E54" s="1">
        <v>0.24199999999999999</v>
      </c>
      <c r="F54">
        <v>18</v>
      </c>
      <c r="G54" s="2">
        <v>760000</v>
      </c>
      <c r="H54" s="7">
        <f t="shared" si="1"/>
        <v>98</v>
      </c>
      <c r="I54" t="s">
        <v>47</v>
      </c>
      <c r="J54">
        <f t="shared" si="7"/>
        <v>0</v>
      </c>
      <c r="K54">
        <f t="shared" si="6"/>
        <v>1</v>
      </c>
      <c r="L54">
        <f t="shared" si="6"/>
        <v>0</v>
      </c>
      <c r="M54">
        <f t="shared" si="6"/>
        <v>0</v>
      </c>
      <c r="N54">
        <f t="shared" si="6"/>
        <v>0</v>
      </c>
      <c r="O54">
        <f t="shared" si="6"/>
        <v>0</v>
      </c>
      <c r="P54">
        <f t="shared" si="6"/>
        <v>0</v>
      </c>
      <c r="Q54">
        <f t="shared" si="3"/>
        <v>0</v>
      </c>
      <c r="R54">
        <f t="shared" si="4"/>
        <v>0</v>
      </c>
      <c r="S54">
        <v>2.2000000000000002</v>
      </c>
      <c r="T54">
        <v>0</v>
      </c>
      <c r="U54">
        <v>1</v>
      </c>
      <c r="V54" s="5">
        <v>0</v>
      </c>
    </row>
    <row r="55" spans="1:22" x14ac:dyDescent="0.2">
      <c r="A55" t="s">
        <v>166</v>
      </c>
      <c r="B55" t="s">
        <v>38</v>
      </c>
      <c r="C55">
        <v>140</v>
      </c>
      <c r="D55">
        <v>134</v>
      </c>
      <c r="E55" s="1">
        <v>0.25800000000000001</v>
      </c>
      <c r="F55">
        <v>19</v>
      </c>
      <c r="G55" s="2">
        <v>760000</v>
      </c>
      <c r="H55" s="7">
        <f t="shared" si="1"/>
        <v>98</v>
      </c>
      <c r="I55" t="s">
        <v>186</v>
      </c>
      <c r="J55">
        <f t="shared" si="7"/>
        <v>1</v>
      </c>
      <c r="K55">
        <f t="shared" si="6"/>
        <v>0</v>
      </c>
      <c r="L55">
        <f t="shared" si="6"/>
        <v>0</v>
      </c>
      <c r="M55">
        <f t="shared" si="6"/>
        <v>0</v>
      </c>
      <c r="N55">
        <f t="shared" si="6"/>
        <v>0</v>
      </c>
      <c r="O55">
        <f t="shared" si="6"/>
        <v>0</v>
      </c>
      <c r="P55">
        <f t="shared" si="6"/>
        <v>0</v>
      </c>
      <c r="Q55">
        <f t="shared" si="3"/>
        <v>0</v>
      </c>
      <c r="R55">
        <f t="shared" si="4"/>
        <v>0</v>
      </c>
      <c r="S55">
        <v>1.7</v>
      </c>
      <c r="T55">
        <v>0</v>
      </c>
      <c r="U55">
        <v>0</v>
      </c>
      <c r="V55" s="5">
        <v>0</v>
      </c>
    </row>
    <row r="56" spans="1:22" x14ac:dyDescent="0.2">
      <c r="A56" t="s">
        <v>136</v>
      </c>
      <c r="B56" t="s">
        <v>29</v>
      </c>
      <c r="C56">
        <v>136</v>
      </c>
      <c r="D56">
        <v>132</v>
      </c>
      <c r="E56" s="1">
        <v>0.25900000000000001</v>
      </c>
      <c r="F56">
        <v>23</v>
      </c>
      <c r="G56" s="2">
        <v>8200000</v>
      </c>
      <c r="H56" s="7">
        <f t="shared" si="1"/>
        <v>72</v>
      </c>
      <c r="I56" t="s">
        <v>187</v>
      </c>
      <c r="J56">
        <f t="shared" si="7"/>
        <v>0</v>
      </c>
      <c r="K56">
        <f t="shared" si="6"/>
        <v>0</v>
      </c>
      <c r="L56">
        <f t="shared" si="6"/>
        <v>0</v>
      </c>
      <c r="M56">
        <f t="shared" si="6"/>
        <v>0</v>
      </c>
      <c r="N56">
        <f t="shared" si="6"/>
        <v>1</v>
      </c>
      <c r="O56">
        <f t="shared" si="6"/>
        <v>0</v>
      </c>
      <c r="P56">
        <f t="shared" si="6"/>
        <v>0</v>
      </c>
      <c r="Q56">
        <f t="shared" si="3"/>
        <v>0</v>
      </c>
      <c r="R56">
        <f t="shared" si="4"/>
        <v>1</v>
      </c>
      <c r="S56">
        <v>1.8</v>
      </c>
      <c r="T56">
        <v>0</v>
      </c>
      <c r="U56">
        <v>0</v>
      </c>
      <c r="V56" s="5">
        <v>0</v>
      </c>
    </row>
    <row r="57" spans="1:22" x14ac:dyDescent="0.2">
      <c r="A57" t="s">
        <v>161</v>
      </c>
      <c r="B57" t="s">
        <v>86</v>
      </c>
      <c r="C57">
        <v>148</v>
      </c>
      <c r="D57">
        <v>149</v>
      </c>
      <c r="E57" s="1">
        <v>0.26600000000000001</v>
      </c>
      <c r="F57">
        <v>20</v>
      </c>
      <c r="G57" s="2">
        <v>20000000</v>
      </c>
      <c r="H57" s="7">
        <f t="shared" si="1"/>
        <v>26</v>
      </c>
      <c r="I57" t="s">
        <v>186</v>
      </c>
      <c r="J57">
        <f t="shared" si="7"/>
        <v>1</v>
      </c>
      <c r="K57">
        <f t="shared" si="6"/>
        <v>0</v>
      </c>
      <c r="L57">
        <f t="shared" si="6"/>
        <v>0</v>
      </c>
      <c r="M57">
        <f t="shared" si="6"/>
        <v>0</v>
      </c>
      <c r="N57">
        <f t="shared" si="6"/>
        <v>0</v>
      </c>
      <c r="O57">
        <f t="shared" si="6"/>
        <v>0</v>
      </c>
      <c r="P57">
        <f t="shared" si="6"/>
        <v>0</v>
      </c>
      <c r="Q57">
        <f t="shared" si="3"/>
        <v>0</v>
      </c>
      <c r="R57">
        <f t="shared" si="4"/>
        <v>0</v>
      </c>
      <c r="S57">
        <v>3</v>
      </c>
      <c r="T57">
        <v>0</v>
      </c>
      <c r="U57">
        <v>0</v>
      </c>
      <c r="V57" s="5">
        <v>0</v>
      </c>
    </row>
    <row r="58" spans="1:22" x14ac:dyDescent="0.2">
      <c r="A58" t="s">
        <v>126</v>
      </c>
      <c r="B58" t="s">
        <v>43</v>
      </c>
      <c r="C58">
        <v>142</v>
      </c>
      <c r="D58">
        <v>150</v>
      </c>
      <c r="E58" s="1">
        <v>0.27200000000000002</v>
      </c>
      <c r="F58">
        <v>33</v>
      </c>
      <c r="G58" s="2">
        <v>12000000</v>
      </c>
      <c r="H58" s="7">
        <f t="shared" si="1"/>
        <v>50</v>
      </c>
      <c r="I58" t="s">
        <v>141</v>
      </c>
      <c r="J58">
        <f t="shared" si="7"/>
        <v>0</v>
      </c>
      <c r="K58">
        <f t="shared" si="6"/>
        <v>0</v>
      </c>
      <c r="L58">
        <f t="shared" si="6"/>
        <v>0</v>
      </c>
      <c r="M58">
        <f t="shared" si="6"/>
        <v>0</v>
      </c>
      <c r="N58">
        <f t="shared" si="6"/>
        <v>0</v>
      </c>
      <c r="O58">
        <f t="shared" si="6"/>
        <v>0</v>
      </c>
      <c r="P58">
        <f t="shared" si="6"/>
        <v>1</v>
      </c>
      <c r="Q58">
        <f t="shared" si="3"/>
        <v>0</v>
      </c>
      <c r="R58">
        <f t="shared" si="4"/>
        <v>0</v>
      </c>
      <c r="S58">
        <v>2.8</v>
      </c>
      <c r="T58">
        <v>0</v>
      </c>
      <c r="U58">
        <v>0</v>
      </c>
      <c r="V58" s="5">
        <v>0</v>
      </c>
    </row>
    <row r="59" spans="1:22" x14ac:dyDescent="0.2">
      <c r="A59" t="s">
        <v>115</v>
      </c>
      <c r="B59" t="s">
        <v>30</v>
      </c>
      <c r="C59">
        <v>147</v>
      </c>
      <c r="D59">
        <v>144</v>
      </c>
      <c r="E59" s="1">
        <v>0.26</v>
      </c>
      <c r="F59">
        <v>17</v>
      </c>
      <c r="G59" s="2">
        <v>11500000</v>
      </c>
      <c r="H59" s="7">
        <f t="shared" si="1"/>
        <v>56</v>
      </c>
      <c r="I59" t="s">
        <v>121</v>
      </c>
      <c r="J59">
        <f t="shared" si="7"/>
        <v>0</v>
      </c>
      <c r="K59">
        <f t="shared" si="6"/>
        <v>0</v>
      </c>
      <c r="L59">
        <f t="shared" si="6"/>
        <v>0</v>
      </c>
      <c r="M59">
        <f t="shared" si="6"/>
        <v>0</v>
      </c>
      <c r="N59">
        <f t="shared" si="6"/>
        <v>0</v>
      </c>
      <c r="O59">
        <f t="shared" si="6"/>
        <v>1</v>
      </c>
      <c r="P59">
        <f t="shared" si="6"/>
        <v>0</v>
      </c>
      <c r="Q59">
        <f t="shared" si="3"/>
        <v>1</v>
      </c>
      <c r="R59">
        <f t="shared" si="4"/>
        <v>0</v>
      </c>
      <c r="S59">
        <v>3.1</v>
      </c>
      <c r="T59">
        <v>0</v>
      </c>
      <c r="U59">
        <v>0</v>
      </c>
      <c r="V59" s="5">
        <v>0</v>
      </c>
    </row>
    <row r="60" spans="1:22" x14ac:dyDescent="0.2">
      <c r="A60" t="s">
        <v>7</v>
      </c>
      <c r="B60" t="s">
        <v>27</v>
      </c>
      <c r="C60">
        <v>128</v>
      </c>
      <c r="D60">
        <v>120</v>
      </c>
      <c r="E60" s="1">
        <v>0.25700000000000001</v>
      </c>
      <c r="F60">
        <v>12</v>
      </c>
      <c r="G60" s="2">
        <v>23100000</v>
      </c>
      <c r="H60" s="7">
        <f t="shared" si="1"/>
        <v>22</v>
      </c>
      <c r="I60" t="s">
        <v>47</v>
      </c>
      <c r="J60">
        <f t="shared" si="7"/>
        <v>0</v>
      </c>
      <c r="K60">
        <f t="shared" si="6"/>
        <v>1</v>
      </c>
      <c r="L60">
        <f t="shared" si="6"/>
        <v>0</v>
      </c>
      <c r="M60">
        <f t="shared" si="6"/>
        <v>0</v>
      </c>
      <c r="N60">
        <f t="shared" si="6"/>
        <v>0</v>
      </c>
      <c r="O60">
        <f t="shared" si="6"/>
        <v>0</v>
      </c>
      <c r="P60">
        <f t="shared" si="6"/>
        <v>0</v>
      </c>
      <c r="Q60">
        <f t="shared" si="3"/>
        <v>0</v>
      </c>
      <c r="R60">
        <f t="shared" si="4"/>
        <v>0</v>
      </c>
      <c r="S60">
        <v>3.4</v>
      </c>
      <c r="T60">
        <v>0</v>
      </c>
      <c r="U60">
        <v>0</v>
      </c>
      <c r="V60" s="5">
        <v>0</v>
      </c>
    </row>
    <row r="61" spans="1:22" x14ac:dyDescent="0.2">
      <c r="A61" t="s">
        <v>167</v>
      </c>
      <c r="B61" t="s">
        <v>40</v>
      </c>
      <c r="C61">
        <v>145</v>
      </c>
      <c r="D61">
        <v>136</v>
      </c>
      <c r="E61" s="1">
        <v>0.251</v>
      </c>
      <c r="F61">
        <v>26</v>
      </c>
      <c r="G61" s="2">
        <v>760000</v>
      </c>
      <c r="H61" s="7">
        <f t="shared" si="1"/>
        <v>98</v>
      </c>
      <c r="I61" t="s">
        <v>186</v>
      </c>
      <c r="J61">
        <f t="shared" si="7"/>
        <v>1</v>
      </c>
      <c r="K61">
        <f t="shared" si="6"/>
        <v>0</v>
      </c>
      <c r="L61">
        <f t="shared" si="6"/>
        <v>0</v>
      </c>
      <c r="M61">
        <f t="shared" si="6"/>
        <v>0</v>
      </c>
      <c r="N61">
        <f t="shared" si="6"/>
        <v>0</v>
      </c>
      <c r="O61">
        <f t="shared" si="6"/>
        <v>0</v>
      </c>
      <c r="P61">
        <f t="shared" si="6"/>
        <v>0</v>
      </c>
      <c r="Q61">
        <f t="shared" si="3"/>
        <v>0</v>
      </c>
      <c r="R61">
        <f t="shared" si="4"/>
        <v>0</v>
      </c>
      <c r="S61">
        <v>2.2999999999999998</v>
      </c>
      <c r="T61">
        <v>0</v>
      </c>
      <c r="U61">
        <v>0</v>
      </c>
      <c r="V61" s="5">
        <v>1</v>
      </c>
    </row>
    <row r="62" spans="1:22" x14ac:dyDescent="0.2">
      <c r="A62" t="s">
        <v>91</v>
      </c>
      <c r="B62" t="s">
        <v>89</v>
      </c>
      <c r="C62">
        <v>147</v>
      </c>
      <c r="D62">
        <v>145</v>
      </c>
      <c r="E62" s="1">
        <v>0.26300000000000001</v>
      </c>
      <c r="F62">
        <v>13</v>
      </c>
      <c r="G62" s="2">
        <v>11500000</v>
      </c>
      <c r="H62" s="7">
        <f t="shared" si="1"/>
        <v>56</v>
      </c>
      <c r="I62" t="s">
        <v>100</v>
      </c>
      <c r="J62">
        <f t="shared" si="7"/>
        <v>0</v>
      </c>
      <c r="K62">
        <f t="shared" si="6"/>
        <v>0</v>
      </c>
      <c r="L62">
        <f t="shared" si="6"/>
        <v>0</v>
      </c>
      <c r="M62">
        <f t="shared" si="6"/>
        <v>1</v>
      </c>
      <c r="N62">
        <f t="shared" si="6"/>
        <v>0</v>
      </c>
      <c r="O62">
        <f t="shared" si="6"/>
        <v>0</v>
      </c>
      <c r="P62">
        <f t="shared" si="6"/>
        <v>0</v>
      </c>
      <c r="Q62">
        <f t="shared" si="3"/>
        <v>1</v>
      </c>
      <c r="R62">
        <f t="shared" si="4"/>
        <v>0</v>
      </c>
      <c r="S62">
        <v>2.8</v>
      </c>
      <c r="T62">
        <v>0</v>
      </c>
      <c r="U62">
        <v>0</v>
      </c>
      <c r="V62" s="5">
        <v>0</v>
      </c>
    </row>
    <row r="63" spans="1:22" x14ac:dyDescent="0.2">
      <c r="A63" t="s">
        <v>171</v>
      </c>
      <c r="B63" t="s">
        <v>41</v>
      </c>
      <c r="C63">
        <v>140</v>
      </c>
      <c r="D63">
        <v>138</v>
      </c>
      <c r="E63" s="1">
        <v>0.26200000000000001</v>
      </c>
      <c r="F63">
        <v>18</v>
      </c>
      <c r="G63" s="2">
        <v>760000</v>
      </c>
      <c r="H63" s="7">
        <f t="shared" si="1"/>
        <v>98</v>
      </c>
      <c r="I63" t="s">
        <v>186</v>
      </c>
      <c r="J63">
        <f t="shared" si="7"/>
        <v>1</v>
      </c>
      <c r="K63">
        <f t="shared" si="6"/>
        <v>0</v>
      </c>
      <c r="L63">
        <f t="shared" si="6"/>
        <v>0</v>
      </c>
      <c r="M63">
        <f t="shared" si="6"/>
        <v>0</v>
      </c>
      <c r="N63">
        <f t="shared" si="6"/>
        <v>0</v>
      </c>
      <c r="O63">
        <f t="shared" si="6"/>
        <v>0</v>
      </c>
      <c r="P63">
        <f t="shared" si="6"/>
        <v>0</v>
      </c>
      <c r="Q63">
        <f t="shared" si="3"/>
        <v>0</v>
      </c>
      <c r="R63">
        <f t="shared" si="4"/>
        <v>0</v>
      </c>
      <c r="S63">
        <v>2.1</v>
      </c>
      <c r="T63">
        <v>0</v>
      </c>
      <c r="U63">
        <v>0</v>
      </c>
      <c r="V63" s="5">
        <v>1</v>
      </c>
    </row>
    <row r="64" spans="1:22" x14ac:dyDescent="0.2">
      <c r="A64" t="s">
        <v>185</v>
      </c>
      <c r="B64" t="s">
        <v>28</v>
      </c>
      <c r="C64">
        <v>120</v>
      </c>
      <c r="D64">
        <v>114</v>
      </c>
      <c r="E64" s="1">
        <v>0.255</v>
      </c>
      <c r="F64">
        <v>11</v>
      </c>
      <c r="G64" s="2">
        <v>9000000</v>
      </c>
      <c r="H64" s="7">
        <f t="shared" si="1"/>
        <v>67</v>
      </c>
      <c r="I64" t="s">
        <v>186</v>
      </c>
      <c r="J64">
        <f t="shared" si="7"/>
        <v>1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0</v>
      </c>
      <c r="O64">
        <f t="shared" si="6"/>
        <v>0</v>
      </c>
      <c r="P64">
        <f t="shared" si="6"/>
        <v>0</v>
      </c>
      <c r="Q64">
        <f t="shared" si="3"/>
        <v>0</v>
      </c>
      <c r="R64">
        <f t="shared" si="4"/>
        <v>0</v>
      </c>
      <c r="S64">
        <v>1.1000000000000001</v>
      </c>
      <c r="T64">
        <v>0</v>
      </c>
      <c r="U64">
        <v>0</v>
      </c>
      <c r="V64" s="5">
        <v>0</v>
      </c>
    </row>
    <row r="65" spans="1:22" x14ac:dyDescent="0.2">
      <c r="A65" t="s">
        <v>90</v>
      </c>
      <c r="B65" t="s">
        <v>43</v>
      </c>
      <c r="C65">
        <v>140</v>
      </c>
      <c r="D65">
        <v>142</v>
      </c>
      <c r="E65" s="1">
        <v>0.26700000000000002</v>
      </c>
      <c r="F65">
        <v>11</v>
      </c>
      <c r="G65" s="2">
        <v>12500000</v>
      </c>
      <c r="H65" s="7">
        <f t="shared" si="1"/>
        <v>49</v>
      </c>
      <c r="I65" t="s">
        <v>100</v>
      </c>
      <c r="J65">
        <f t="shared" si="7"/>
        <v>0</v>
      </c>
      <c r="K65">
        <f t="shared" si="6"/>
        <v>0</v>
      </c>
      <c r="L65">
        <f t="shared" si="6"/>
        <v>0</v>
      </c>
      <c r="M65">
        <f t="shared" si="6"/>
        <v>1</v>
      </c>
      <c r="N65">
        <f t="shared" si="6"/>
        <v>0</v>
      </c>
      <c r="O65">
        <f t="shared" si="6"/>
        <v>0</v>
      </c>
      <c r="P65">
        <f t="shared" si="6"/>
        <v>0</v>
      </c>
      <c r="Q65">
        <f t="shared" si="3"/>
        <v>1</v>
      </c>
      <c r="R65">
        <f t="shared" si="4"/>
        <v>0</v>
      </c>
      <c r="S65">
        <v>2.7</v>
      </c>
      <c r="T65">
        <v>0</v>
      </c>
      <c r="U65">
        <v>0</v>
      </c>
      <c r="V65" s="5">
        <v>0</v>
      </c>
    </row>
    <row r="66" spans="1:22" x14ac:dyDescent="0.2">
      <c r="A66" t="s">
        <v>111</v>
      </c>
      <c r="B66" t="s">
        <v>36</v>
      </c>
      <c r="C66">
        <v>153</v>
      </c>
      <c r="D66">
        <v>160</v>
      </c>
      <c r="E66" s="1">
        <v>0.26800000000000002</v>
      </c>
      <c r="F66">
        <v>19</v>
      </c>
      <c r="G66" s="2">
        <v>760000</v>
      </c>
      <c r="H66" s="7">
        <f t="shared" si="1"/>
        <v>98</v>
      </c>
      <c r="I66" t="s">
        <v>121</v>
      </c>
      <c r="J66">
        <f t="shared" si="7"/>
        <v>0</v>
      </c>
      <c r="K66">
        <f t="shared" si="6"/>
        <v>0</v>
      </c>
      <c r="L66">
        <f t="shared" si="6"/>
        <v>0</v>
      </c>
      <c r="M66">
        <f t="shared" si="6"/>
        <v>0</v>
      </c>
      <c r="N66">
        <f t="shared" si="6"/>
        <v>0</v>
      </c>
      <c r="O66">
        <f t="shared" si="6"/>
        <v>1</v>
      </c>
      <c r="P66">
        <f t="shared" si="6"/>
        <v>0</v>
      </c>
      <c r="Q66">
        <f t="shared" si="3"/>
        <v>1</v>
      </c>
      <c r="R66">
        <f t="shared" si="4"/>
        <v>0</v>
      </c>
      <c r="S66">
        <v>3.5</v>
      </c>
      <c r="T66">
        <v>0</v>
      </c>
      <c r="U66">
        <v>0</v>
      </c>
      <c r="V66" s="5">
        <v>0</v>
      </c>
    </row>
    <row r="67" spans="1:22" x14ac:dyDescent="0.2">
      <c r="A67" t="s">
        <v>139</v>
      </c>
      <c r="B67" t="s">
        <v>30</v>
      </c>
      <c r="C67">
        <v>128</v>
      </c>
      <c r="D67">
        <v>122</v>
      </c>
      <c r="E67" s="1">
        <v>0.255</v>
      </c>
      <c r="F67">
        <v>18</v>
      </c>
      <c r="G67" s="2">
        <v>8000000</v>
      </c>
      <c r="H67" s="7">
        <f t="shared" ref="H67:H130" si="8">_xlfn.RANK.EQ(G67,$G$2:$G$141,0)</f>
        <v>73</v>
      </c>
      <c r="I67" t="s">
        <v>141</v>
      </c>
      <c r="J67">
        <f t="shared" si="7"/>
        <v>0</v>
      </c>
      <c r="K67">
        <f t="shared" si="6"/>
        <v>0</v>
      </c>
      <c r="L67">
        <f t="shared" si="6"/>
        <v>0</v>
      </c>
      <c r="M67">
        <f t="shared" si="6"/>
        <v>0</v>
      </c>
      <c r="N67">
        <f t="shared" si="6"/>
        <v>0</v>
      </c>
      <c r="O67">
        <f t="shared" si="6"/>
        <v>0</v>
      </c>
      <c r="P67">
        <f t="shared" si="6"/>
        <v>1</v>
      </c>
      <c r="Q67">
        <f t="shared" ref="Q67:Q130" si="9">IF(OR(I67=O$1,I67=M$1),1,0)</f>
        <v>0</v>
      </c>
      <c r="R67">
        <f t="shared" ref="R67:R130" si="10">IF(OR(I67=N$1,I67=L$1),1,0)</f>
        <v>0</v>
      </c>
      <c r="S67">
        <v>1.3</v>
      </c>
      <c r="T67">
        <v>0</v>
      </c>
      <c r="U67">
        <v>0</v>
      </c>
      <c r="V67" s="5">
        <v>0</v>
      </c>
    </row>
    <row r="68" spans="1:22" x14ac:dyDescent="0.2">
      <c r="A68" t="s">
        <v>164</v>
      </c>
      <c r="B68" t="s">
        <v>165</v>
      </c>
      <c r="C68">
        <v>138</v>
      </c>
      <c r="D68">
        <v>122</v>
      </c>
      <c r="E68" s="1">
        <v>0.23499999999999999</v>
      </c>
      <c r="F68">
        <v>28</v>
      </c>
      <c r="G68" s="2">
        <v>11000000</v>
      </c>
      <c r="H68" s="7">
        <f t="shared" si="8"/>
        <v>61</v>
      </c>
      <c r="I68" t="s">
        <v>186</v>
      </c>
      <c r="J68">
        <f t="shared" si="7"/>
        <v>1</v>
      </c>
      <c r="K68">
        <f t="shared" si="6"/>
        <v>0</v>
      </c>
      <c r="L68">
        <f t="shared" si="6"/>
        <v>0</v>
      </c>
      <c r="M68">
        <f t="shared" si="6"/>
        <v>0</v>
      </c>
      <c r="N68">
        <f t="shared" si="6"/>
        <v>0</v>
      </c>
      <c r="O68">
        <f t="shared" si="6"/>
        <v>0</v>
      </c>
      <c r="P68">
        <f t="shared" si="6"/>
        <v>0</v>
      </c>
      <c r="Q68">
        <f t="shared" si="9"/>
        <v>0</v>
      </c>
      <c r="R68">
        <f t="shared" si="10"/>
        <v>0</v>
      </c>
      <c r="S68">
        <v>2</v>
      </c>
      <c r="T68">
        <v>0</v>
      </c>
      <c r="U68">
        <v>0</v>
      </c>
      <c r="V68" s="5">
        <v>0</v>
      </c>
    </row>
    <row r="69" spans="1:22" x14ac:dyDescent="0.2">
      <c r="A69" t="s">
        <v>131</v>
      </c>
      <c r="B69" t="s">
        <v>35</v>
      </c>
      <c r="C69">
        <v>145</v>
      </c>
      <c r="D69">
        <v>150</v>
      </c>
      <c r="E69" s="1">
        <v>0.27</v>
      </c>
      <c r="F69">
        <v>20</v>
      </c>
      <c r="G69" s="2">
        <v>760000</v>
      </c>
      <c r="H69" s="7">
        <f t="shared" si="8"/>
        <v>98</v>
      </c>
      <c r="I69" t="s">
        <v>141</v>
      </c>
      <c r="J69">
        <f t="shared" si="7"/>
        <v>0</v>
      </c>
      <c r="K69">
        <f t="shared" si="6"/>
        <v>0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0</v>
      </c>
      <c r="P69">
        <f t="shared" si="6"/>
        <v>1</v>
      </c>
      <c r="Q69">
        <f t="shared" si="9"/>
        <v>0</v>
      </c>
      <c r="R69">
        <f t="shared" si="10"/>
        <v>0</v>
      </c>
      <c r="S69">
        <v>1.4</v>
      </c>
      <c r="T69">
        <v>0</v>
      </c>
      <c r="U69">
        <v>0</v>
      </c>
      <c r="V69" s="5">
        <v>0</v>
      </c>
    </row>
    <row r="70" spans="1:22" x14ac:dyDescent="0.2">
      <c r="A70" t="s">
        <v>14</v>
      </c>
      <c r="B70" t="s">
        <v>34</v>
      </c>
      <c r="C70">
        <v>135</v>
      </c>
      <c r="D70">
        <v>110</v>
      </c>
      <c r="E70" s="1">
        <v>0.21299999999999999</v>
      </c>
      <c r="F70">
        <v>11</v>
      </c>
      <c r="G70" s="2">
        <v>760000</v>
      </c>
      <c r="H70" s="7">
        <f t="shared" si="8"/>
        <v>98</v>
      </c>
      <c r="I70" t="s">
        <v>47</v>
      </c>
      <c r="J70">
        <f t="shared" si="7"/>
        <v>0</v>
      </c>
      <c r="K70">
        <f t="shared" si="6"/>
        <v>1</v>
      </c>
      <c r="L70">
        <f t="shared" si="6"/>
        <v>0</v>
      </c>
      <c r="M70">
        <f t="shared" si="6"/>
        <v>0</v>
      </c>
      <c r="N70">
        <f t="shared" si="6"/>
        <v>0</v>
      </c>
      <c r="O70">
        <f t="shared" si="6"/>
        <v>0</v>
      </c>
      <c r="P70">
        <f t="shared" si="6"/>
        <v>0</v>
      </c>
      <c r="Q70">
        <f t="shared" si="9"/>
        <v>0</v>
      </c>
      <c r="R70">
        <f t="shared" si="10"/>
        <v>0</v>
      </c>
      <c r="S70">
        <v>2.5</v>
      </c>
      <c r="T70">
        <v>0</v>
      </c>
      <c r="U70">
        <v>0</v>
      </c>
      <c r="V70" s="5">
        <v>0</v>
      </c>
    </row>
    <row r="71" spans="1:22" x14ac:dyDescent="0.2">
      <c r="A71" t="s">
        <v>84</v>
      </c>
      <c r="B71" t="s">
        <v>42</v>
      </c>
      <c r="C71">
        <v>142</v>
      </c>
      <c r="D71">
        <v>138</v>
      </c>
      <c r="E71" s="1">
        <v>0.26</v>
      </c>
      <c r="F71">
        <v>18</v>
      </c>
      <c r="G71" s="2">
        <v>760000</v>
      </c>
      <c r="H71" s="7">
        <f t="shared" si="8"/>
        <v>98</v>
      </c>
      <c r="I71" t="s">
        <v>100</v>
      </c>
      <c r="J71">
        <f t="shared" si="7"/>
        <v>0</v>
      </c>
      <c r="K71">
        <f t="shared" si="6"/>
        <v>0</v>
      </c>
      <c r="L71">
        <f t="shared" si="6"/>
        <v>0</v>
      </c>
      <c r="M71">
        <f t="shared" si="6"/>
        <v>1</v>
      </c>
      <c r="N71">
        <f t="shared" si="6"/>
        <v>0</v>
      </c>
      <c r="O71">
        <f t="shared" si="6"/>
        <v>0</v>
      </c>
      <c r="P71">
        <f t="shared" si="6"/>
        <v>0</v>
      </c>
      <c r="Q71">
        <f t="shared" si="9"/>
        <v>1</v>
      </c>
      <c r="R71">
        <f t="shared" si="10"/>
        <v>0</v>
      </c>
      <c r="S71">
        <v>2.1</v>
      </c>
      <c r="T71">
        <v>0</v>
      </c>
      <c r="U71">
        <v>0</v>
      </c>
      <c r="V71" s="5">
        <v>0</v>
      </c>
    </row>
    <row r="72" spans="1:22" x14ac:dyDescent="0.2">
      <c r="A72" t="s">
        <v>75</v>
      </c>
      <c r="B72" t="s">
        <v>36</v>
      </c>
      <c r="C72">
        <v>120</v>
      </c>
      <c r="D72">
        <v>108</v>
      </c>
      <c r="E72" s="1">
        <v>0.24</v>
      </c>
      <c r="F72">
        <v>18</v>
      </c>
      <c r="G72" s="2">
        <v>19000000</v>
      </c>
      <c r="H72" s="7">
        <f t="shared" si="8"/>
        <v>34</v>
      </c>
      <c r="I72" t="s">
        <v>76</v>
      </c>
      <c r="J72">
        <f t="shared" si="7"/>
        <v>0</v>
      </c>
      <c r="K72">
        <f t="shared" si="6"/>
        <v>0</v>
      </c>
      <c r="L72">
        <f t="shared" si="6"/>
        <v>1</v>
      </c>
      <c r="M72">
        <f t="shared" si="6"/>
        <v>0</v>
      </c>
      <c r="N72">
        <f t="shared" si="6"/>
        <v>0</v>
      </c>
      <c r="O72">
        <f t="shared" si="6"/>
        <v>0</v>
      </c>
      <c r="P72">
        <f t="shared" si="6"/>
        <v>0</v>
      </c>
      <c r="Q72">
        <f t="shared" si="9"/>
        <v>0</v>
      </c>
      <c r="R72">
        <f t="shared" si="10"/>
        <v>1</v>
      </c>
      <c r="S72">
        <v>0.9</v>
      </c>
      <c r="T72">
        <v>0</v>
      </c>
      <c r="U72">
        <v>0</v>
      </c>
      <c r="V72" s="5">
        <v>0</v>
      </c>
    </row>
    <row r="73" spans="1:22" x14ac:dyDescent="0.2">
      <c r="A73" t="s">
        <v>77</v>
      </c>
      <c r="B73" t="s">
        <v>36</v>
      </c>
      <c r="C73">
        <v>145</v>
      </c>
      <c r="D73">
        <v>165</v>
      </c>
      <c r="E73" s="1">
        <v>0.29199999999999998</v>
      </c>
      <c r="F73">
        <v>22</v>
      </c>
      <c r="G73" s="2">
        <v>29000000</v>
      </c>
      <c r="H73" s="7">
        <f t="shared" si="8"/>
        <v>12</v>
      </c>
      <c r="I73" t="s">
        <v>187</v>
      </c>
      <c r="J73">
        <f t="shared" si="7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1</v>
      </c>
      <c r="O73">
        <f t="shared" si="6"/>
        <v>0</v>
      </c>
      <c r="P73">
        <f t="shared" si="6"/>
        <v>0</v>
      </c>
      <c r="Q73">
        <f t="shared" si="9"/>
        <v>0</v>
      </c>
      <c r="R73">
        <f t="shared" si="10"/>
        <v>1</v>
      </c>
      <c r="S73">
        <v>4.7</v>
      </c>
      <c r="T73">
        <v>0</v>
      </c>
      <c r="U73">
        <v>0</v>
      </c>
      <c r="V73" s="5">
        <v>0</v>
      </c>
    </row>
    <row r="74" spans="1:22" x14ac:dyDescent="0.2">
      <c r="A74" t="s">
        <v>59</v>
      </c>
      <c r="B74" t="s">
        <v>60</v>
      </c>
      <c r="C74">
        <v>140</v>
      </c>
      <c r="D74">
        <v>134</v>
      </c>
      <c r="E74" s="1">
        <v>0.255</v>
      </c>
      <c r="F74">
        <v>22</v>
      </c>
      <c r="G74" s="2">
        <v>16500000</v>
      </c>
      <c r="H74" s="7">
        <f t="shared" si="8"/>
        <v>38</v>
      </c>
      <c r="I74" t="s">
        <v>76</v>
      </c>
      <c r="J74">
        <f t="shared" si="7"/>
        <v>0</v>
      </c>
      <c r="K74">
        <f t="shared" si="6"/>
        <v>0</v>
      </c>
      <c r="L74">
        <f t="shared" si="6"/>
        <v>1</v>
      </c>
      <c r="M74">
        <f t="shared" si="6"/>
        <v>0</v>
      </c>
      <c r="N74">
        <f t="shared" si="6"/>
        <v>0</v>
      </c>
      <c r="O74">
        <f t="shared" si="6"/>
        <v>0</v>
      </c>
      <c r="P74">
        <f t="shared" si="6"/>
        <v>0</v>
      </c>
      <c r="Q74">
        <f t="shared" si="9"/>
        <v>0</v>
      </c>
      <c r="R74">
        <f t="shared" si="10"/>
        <v>1</v>
      </c>
      <c r="S74">
        <v>1.8</v>
      </c>
      <c r="T74">
        <v>0</v>
      </c>
      <c r="U74">
        <v>0</v>
      </c>
      <c r="V74" s="5">
        <v>0</v>
      </c>
    </row>
    <row r="75" spans="1:22" x14ac:dyDescent="0.2">
      <c r="A75" t="s">
        <v>133</v>
      </c>
      <c r="B75" t="s">
        <v>38</v>
      </c>
      <c r="C75">
        <v>146</v>
      </c>
      <c r="D75">
        <v>155</v>
      </c>
      <c r="E75" s="1">
        <v>0.28399999999999997</v>
      </c>
      <c r="F75">
        <v>26</v>
      </c>
      <c r="G75" s="2">
        <v>760000</v>
      </c>
      <c r="H75" s="7">
        <f t="shared" si="8"/>
        <v>98</v>
      </c>
      <c r="I75" t="s">
        <v>141</v>
      </c>
      <c r="J75">
        <f t="shared" si="7"/>
        <v>0</v>
      </c>
      <c r="K75">
        <f t="shared" si="6"/>
        <v>0</v>
      </c>
      <c r="L75">
        <f t="shared" si="6"/>
        <v>0</v>
      </c>
      <c r="M75">
        <f t="shared" si="6"/>
        <v>0</v>
      </c>
      <c r="N75">
        <f t="shared" si="6"/>
        <v>0</v>
      </c>
      <c r="O75">
        <f t="shared" si="6"/>
        <v>0</v>
      </c>
      <c r="P75">
        <f t="shared" si="6"/>
        <v>1</v>
      </c>
      <c r="Q75">
        <f t="shared" si="9"/>
        <v>0</v>
      </c>
      <c r="R75">
        <f t="shared" si="10"/>
        <v>0</v>
      </c>
      <c r="S75">
        <v>2.9</v>
      </c>
      <c r="T75">
        <v>1</v>
      </c>
      <c r="U75">
        <v>0</v>
      </c>
      <c r="V75" s="5">
        <v>0</v>
      </c>
    </row>
    <row r="76" spans="1:22" x14ac:dyDescent="0.2">
      <c r="A76" t="s">
        <v>143</v>
      </c>
      <c r="B76" t="s">
        <v>65</v>
      </c>
      <c r="C76">
        <v>158</v>
      </c>
      <c r="D76">
        <v>178</v>
      </c>
      <c r="E76" s="1">
        <v>0.307</v>
      </c>
      <c r="F76">
        <v>39</v>
      </c>
      <c r="G76" s="2">
        <v>31000000</v>
      </c>
      <c r="H76" s="7">
        <f t="shared" si="8"/>
        <v>9</v>
      </c>
      <c r="I76" t="s">
        <v>186</v>
      </c>
      <c r="J76">
        <f t="shared" si="7"/>
        <v>1</v>
      </c>
      <c r="K76">
        <f t="shared" si="6"/>
        <v>0</v>
      </c>
      <c r="L76">
        <f t="shared" si="6"/>
        <v>0</v>
      </c>
      <c r="M76">
        <f t="shared" si="6"/>
        <v>0</v>
      </c>
      <c r="N76">
        <f t="shared" si="6"/>
        <v>0</v>
      </c>
      <c r="O76">
        <f t="shared" si="6"/>
        <v>0</v>
      </c>
      <c r="P76">
        <f t="shared" si="6"/>
        <v>0</v>
      </c>
      <c r="Q76">
        <f t="shared" si="9"/>
        <v>0</v>
      </c>
      <c r="R76">
        <f t="shared" si="10"/>
        <v>0</v>
      </c>
      <c r="S76">
        <v>7.4</v>
      </c>
      <c r="T76">
        <v>0</v>
      </c>
      <c r="U76">
        <v>0</v>
      </c>
      <c r="V76" s="5">
        <v>0</v>
      </c>
    </row>
    <row r="77" spans="1:22" x14ac:dyDescent="0.2">
      <c r="A77" t="s">
        <v>149</v>
      </c>
      <c r="B77" t="s">
        <v>30</v>
      </c>
      <c r="C77">
        <v>157</v>
      </c>
      <c r="D77">
        <v>172</v>
      </c>
      <c r="E77" s="1">
        <v>0.29099999999999998</v>
      </c>
      <c r="F77">
        <v>32</v>
      </c>
      <c r="G77" s="2">
        <v>12000000</v>
      </c>
      <c r="H77" s="7">
        <f t="shared" si="8"/>
        <v>50</v>
      </c>
      <c r="I77" t="s">
        <v>186</v>
      </c>
      <c r="J77">
        <f t="shared" si="7"/>
        <v>1</v>
      </c>
      <c r="K77">
        <f t="shared" si="6"/>
        <v>0</v>
      </c>
      <c r="L77">
        <f t="shared" si="6"/>
        <v>0</v>
      </c>
      <c r="M77">
        <f t="shared" si="6"/>
        <v>0</v>
      </c>
      <c r="N77">
        <f t="shared" si="6"/>
        <v>0</v>
      </c>
      <c r="O77">
        <f t="shared" si="6"/>
        <v>0</v>
      </c>
      <c r="P77">
        <f t="shared" si="6"/>
        <v>0</v>
      </c>
      <c r="Q77">
        <f t="shared" si="9"/>
        <v>0</v>
      </c>
      <c r="R77">
        <f t="shared" si="10"/>
        <v>0</v>
      </c>
      <c r="S77">
        <v>6.8</v>
      </c>
      <c r="T77">
        <v>0</v>
      </c>
      <c r="U77">
        <v>0</v>
      </c>
      <c r="V77" s="5">
        <v>0</v>
      </c>
    </row>
    <row r="78" spans="1:22" x14ac:dyDescent="0.2">
      <c r="A78" t="s">
        <v>130</v>
      </c>
      <c r="B78" t="s">
        <v>37</v>
      </c>
      <c r="C78">
        <v>132</v>
      </c>
      <c r="D78">
        <v>128</v>
      </c>
      <c r="E78" s="1">
        <v>0.26</v>
      </c>
      <c r="F78">
        <v>18</v>
      </c>
      <c r="G78" s="2">
        <v>13000000</v>
      </c>
      <c r="H78" s="7">
        <f t="shared" si="8"/>
        <v>45</v>
      </c>
      <c r="I78" t="s">
        <v>141</v>
      </c>
      <c r="J78">
        <f t="shared" si="7"/>
        <v>0</v>
      </c>
      <c r="K78">
        <f t="shared" si="6"/>
        <v>0</v>
      </c>
      <c r="L78">
        <f t="shared" si="6"/>
        <v>0</v>
      </c>
      <c r="M78">
        <f t="shared" si="6"/>
        <v>0</v>
      </c>
      <c r="N78">
        <f t="shared" si="6"/>
        <v>0</v>
      </c>
      <c r="O78">
        <f t="shared" si="6"/>
        <v>0</v>
      </c>
      <c r="P78">
        <f t="shared" si="6"/>
        <v>1</v>
      </c>
      <c r="Q78">
        <f t="shared" si="9"/>
        <v>0</v>
      </c>
      <c r="R78">
        <f t="shared" si="10"/>
        <v>0</v>
      </c>
      <c r="S78">
        <v>1.7</v>
      </c>
      <c r="T78">
        <v>0</v>
      </c>
      <c r="U78">
        <v>0</v>
      </c>
      <c r="V78" s="5">
        <v>0</v>
      </c>
    </row>
    <row r="79" spans="1:22" x14ac:dyDescent="0.2">
      <c r="A79" t="s">
        <v>15</v>
      </c>
      <c r="B79" t="s">
        <v>35</v>
      </c>
      <c r="C79">
        <v>141</v>
      </c>
      <c r="D79">
        <v>125</v>
      </c>
      <c r="E79" s="1">
        <v>0.247</v>
      </c>
      <c r="F79">
        <v>2</v>
      </c>
      <c r="G79" s="2">
        <v>6000000</v>
      </c>
      <c r="H79" s="7">
        <f t="shared" si="8"/>
        <v>79</v>
      </c>
      <c r="I79" t="s">
        <v>47</v>
      </c>
      <c r="J79">
        <f t="shared" si="7"/>
        <v>0</v>
      </c>
      <c r="K79">
        <f t="shared" si="6"/>
        <v>1</v>
      </c>
      <c r="L79">
        <f t="shared" si="6"/>
        <v>0</v>
      </c>
      <c r="M79">
        <f t="shared" si="6"/>
        <v>0</v>
      </c>
      <c r="N79">
        <f t="shared" si="6"/>
        <v>0</v>
      </c>
      <c r="O79">
        <f t="shared" si="6"/>
        <v>0</v>
      </c>
      <c r="P79">
        <f t="shared" si="6"/>
        <v>0</v>
      </c>
      <c r="Q79">
        <f t="shared" si="9"/>
        <v>0</v>
      </c>
      <c r="R79">
        <f t="shared" si="10"/>
        <v>0</v>
      </c>
      <c r="S79">
        <v>1.2</v>
      </c>
      <c r="T79">
        <v>0</v>
      </c>
      <c r="U79">
        <v>0</v>
      </c>
      <c r="V79" s="5">
        <v>0</v>
      </c>
    </row>
    <row r="80" spans="1:22" x14ac:dyDescent="0.2">
      <c r="A80" t="s">
        <v>81</v>
      </c>
      <c r="B80" t="s">
        <v>33</v>
      </c>
      <c r="C80">
        <v>154</v>
      </c>
      <c r="D80">
        <v>168</v>
      </c>
      <c r="E80" s="1">
        <v>0.28299999999999997</v>
      </c>
      <c r="F80">
        <v>26</v>
      </c>
      <c r="G80" s="2">
        <v>11000000</v>
      </c>
      <c r="H80" s="7">
        <f t="shared" si="8"/>
        <v>61</v>
      </c>
      <c r="I80" t="s">
        <v>100</v>
      </c>
      <c r="J80">
        <f t="shared" si="7"/>
        <v>0</v>
      </c>
      <c r="K80">
        <f t="shared" si="6"/>
        <v>0</v>
      </c>
      <c r="L80">
        <f t="shared" si="6"/>
        <v>0</v>
      </c>
      <c r="M80">
        <f t="shared" si="6"/>
        <v>1</v>
      </c>
      <c r="N80">
        <f t="shared" si="6"/>
        <v>0</v>
      </c>
      <c r="O80">
        <f t="shared" si="6"/>
        <v>0</v>
      </c>
      <c r="P80">
        <f t="shared" si="6"/>
        <v>0</v>
      </c>
      <c r="Q80">
        <f t="shared" si="9"/>
        <v>1</v>
      </c>
      <c r="R80">
        <f t="shared" si="10"/>
        <v>0</v>
      </c>
      <c r="S80">
        <v>4.3</v>
      </c>
      <c r="T80">
        <v>0</v>
      </c>
      <c r="U80">
        <v>0</v>
      </c>
      <c r="V80" s="5">
        <v>0</v>
      </c>
    </row>
    <row r="81" spans="1:22" x14ac:dyDescent="0.2">
      <c r="A81" t="s">
        <v>170</v>
      </c>
      <c r="B81" t="s">
        <v>29</v>
      </c>
      <c r="C81">
        <v>142</v>
      </c>
      <c r="D81">
        <v>135</v>
      </c>
      <c r="E81" s="1">
        <v>0.25900000000000001</v>
      </c>
      <c r="F81">
        <v>14</v>
      </c>
      <c r="G81" s="2">
        <v>760000</v>
      </c>
      <c r="H81" s="7">
        <f t="shared" si="8"/>
        <v>98</v>
      </c>
      <c r="I81" t="s">
        <v>187</v>
      </c>
      <c r="J81">
        <f t="shared" si="7"/>
        <v>0</v>
      </c>
      <c r="K81">
        <f t="shared" si="6"/>
        <v>0</v>
      </c>
      <c r="L81">
        <f t="shared" si="6"/>
        <v>0</v>
      </c>
      <c r="M81">
        <f t="shared" si="6"/>
        <v>0</v>
      </c>
      <c r="N81">
        <f t="shared" si="6"/>
        <v>1</v>
      </c>
      <c r="O81">
        <f t="shared" si="6"/>
        <v>0</v>
      </c>
      <c r="P81">
        <f t="shared" si="6"/>
        <v>0</v>
      </c>
      <c r="Q81">
        <f t="shared" si="9"/>
        <v>0</v>
      </c>
      <c r="R81">
        <f t="shared" si="10"/>
        <v>1</v>
      </c>
      <c r="S81">
        <v>1.8</v>
      </c>
      <c r="T81">
        <v>0</v>
      </c>
      <c r="U81">
        <v>0</v>
      </c>
      <c r="V81" s="5">
        <v>0</v>
      </c>
    </row>
    <row r="82" spans="1:22" x14ac:dyDescent="0.2">
      <c r="A82" t="s">
        <v>123</v>
      </c>
      <c r="B82" t="s">
        <v>27</v>
      </c>
      <c r="C82">
        <v>154</v>
      </c>
      <c r="D82">
        <v>130</v>
      </c>
      <c r="E82" s="1">
        <v>0.23100000000000001</v>
      </c>
      <c r="F82">
        <v>56</v>
      </c>
      <c r="G82" s="2">
        <v>20000000</v>
      </c>
      <c r="H82" s="7">
        <f t="shared" si="8"/>
        <v>26</v>
      </c>
      <c r="I82" t="s">
        <v>186</v>
      </c>
      <c r="J82">
        <f t="shared" si="7"/>
        <v>1</v>
      </c>
      <c r="K82">
        <f t="shared" si="6"/>
        <v>0</v>
      </c>
      <c r="L82">
        <f t="shared" si="6"/>
        <v>0</v>
      </c>
      <c r="M82">
        <f t="shared" si="6"/>
        <v>0</v>
      </c>
      <c r="N82">
        <f t="shared" si="6"/>
        <v>0</v>
      </c>
      <c r="O82">
        <f t="shared" si="6"/>
        <v>0</v>
      </c>
      <c r="P82">
        <f t="shared" si="6"/>
        <v>0</v>
      </c>
      <c r="Q82">
        <f t="shared" si="9"/>
        <v>0</v>
      </c>
      <c r="R82">
        <f t="shared" si="10"/>
        <v>0</v>
      </c>
      <c r="S82">
        <v>3.6</v>
      </c>
      <c r="T82">
        <v>0</v>
      </c>
      <c r="U82">
        <v>0</v>
      </c>
      <c r="V82" s="5">
        <v>0</v>
      </c>
    </row>
    <row r="83" spans="1:22" x14ac:dyDescent="0.2">
      <c r="A83" t="s">
        <v>146</v>
      </c>
      <c r="B83" t="s">
        <v>36</v>
      </c>
      <c r="C83">
        <v>155</v>
      </c>
      <c r="D83">
        <v>166</v>
      </c>
      <c r="E83" s="1">
        <v>0.28599999999999998</v>
      </c>
      <c r="F83">
        <v>34</v>
      </c>
      <c r="G83" s="2">
        <v>12000000</v>
      </c>
      <c r="H83" s="7">
        <f t="shared" si="8"/>
        <v>50</v>
      </c>
      <c r="I83" t="s">
        <v>186</v>
      </c>
      <c r="J83">
        <f t="shared" si="7"/>
        <v>1</v>
      </c>
      <c r="K83">
        <f t="shared" si="6"/>
        <v>0</v>
      </c>
      <c r="L83">
        <f t="shared" si="6"/>
        <v>0</v>
      </c>
      <c r="M83">
        <f t="shared" si="6"/>
        <v>0</v>
      </c>
      <c r="N83">
        <f t="shared" si="6"/>
        <v>0</v>
      </c>
      <c r="O83">
        <f t="shared" si="6"/>
        <v>0</v>
      </c>
      <c r="P83">
        <f t="shared" si="6"/>
        <v>0</v>
      </c>
      <c r="Q83">
        <f t="shared" si="9"/>
        <v>0</v>
      </c>
      <c r="R83">
        <f t="shared" si="10"/>
        <v>0</v>
      </c>
      <c r="S83">
        <v>6.1</v>
      </c>
      <c r="T83">
        <v>0</v>
      </c>
      <c r="U83">
        <v>1</v>
      </c>
      <c r="V83" s="5">
        <v>0</v>
      </c>
    </row>
    <row r="84" spans="1:22" x14ac:dyDescent="0.2">
      <c r="A84" t="s">
        <v>177</v>
      </c>
      <c r="B84" t="s">
        <v>35</v>
      </c>
      <c r="C84">
        <v>146</v>
      </c>
      <c r="D84">
        <v>148</v>
      </c>
      <c r="E84" s="1">
        <v>0.26800000000000002</v>
      </c>
      <c r="F84">
        <v>24</v>
      </c>
      <c r="G84" s="2">
        <v>4900000</v>
      </c>
      <c r="H84" s="7">
        <f t="shared" si="8"/>
        <v>85</v>
      </c>
      <c r="I84" t="s">
        <v>186</v>
      </c>
      <c r="J84">
        <f t="shared" si="7"/>
        <v>1</v>
      </c>
      <c r="K84">
        <f t="shared" si="6"/>
        <v>0</v>
      </c>
      <c r="L84">
        <f t="shared" si="6"/>
        <v>0</v>
      </c>
      <c r="M84">
        <f t="shared" si="6"/>
        <v>0</v>
      </c>
      <c r="N84">
        <f t="shared" si="6"/>
        <v>0</v>
      </c>
      <c r="O84">
        <f t="shared" si="6"/>
        <v>0</v>
      </c>
      <c r="P84">
        <f t="shared" si="6"/>
        <v>0</v>
      </c>
      <c r="Q84">
        <f t="shared" si="9"/>
        <v>0</v>
      </c>
      <c r="R84">
        <f t="shared" si="10"/>
        <v>0</v>
      </c>
      <c r="S84">
        <v>2.8</v>
      </c>
      <c r="T84">
        <v>0</v>
      </c>
      <c r="U84">
        <v>0</v>
      </c>
      <c r="V84" s="5">
        <v>0</v>
      </c>
    </row>
    <row r="85" spans="1:22" x14ac:dyDescent="0.2">
      <c r="A85" t="s">
        <v>163</v>
      </c>
      <c r="B85" t="s">
        <v>33</v>
      </c>
      <c r="C85">
        <v>147</v>
      </c>
      <c r="D85">
        <v>150</v>
      </c>
      <c r="E85" s="1">
        <v>0.26600000000000001</v>
      </c>
      <c r="F85">
        <v>22</v>
      </c>
      <c r="G85" s="2">
        <v>12000000</v>
      </c>
      <c r="H85" s="7">
        <f t="shared" si="8"/>
        <v>50</v>
      </c>
      <c r="I85" t="s">
        <v>186</v>
      </c>
      <c r="J85">
        <f t="shared" si="7"/>
        <v>1</v>
      </c>
      <c r="K85">
        <f t="shared" si="6"/>
        <v>0</v>
      </c>
      <c r="L85">
        <f t="shared" si="6"/>
        <v>0</v>
      </c>
      <c r="M85">
        <f t="shared" si="6"/>
        <v>0</v>
      </c>
      <c r="N85">
        <f t="shared" si="6"/>
        <v>0</v>
      </c>
      <c r="O85">
        <f t="shared" si="6"/>
        <v>0</v>
      </c>
      <c r="P85">
        <f t="shared" si="6"/>
        <v>0</v>
      </c>
      <c r="Q85">
        <f t="shared" si="9"/>
        <v>0</v>
      </c>
      <c r="R85">
        <f t="shared" si="10"/>
        <v>0</v>
      </c>
      <c r="S85">
        <v>2.7</v>
      </c>
      <c r="T85">
        <v>0</v>
      </c>
      <c r="U85">
        <v>0</v>
      </c>
      <c r="V85" s="5">
        <v>0</v>
      </c>
    </row>
    <row r="86" spans="1:22" x14ac:dyDescent="0.2">
      <c r="A86" t="s">
        <v>88</v>
      </c>
      <c r="B86" t="s">
        <v>89</v>
      </c>
      <c r="C86">
        <v>153</v>
      </c>
      <c r="D86">
        <v>201</v>
      </c>
      <c r="E86" s="1">
        <v>0.32900000000000001</v>
      </c>
      <c r="F86">
        <v>8</v>
      </c>
      <c r="G86" s="2">
        <v>10000000</v>
      </c>
      <c r="H86" s="7">
        <f t="shared" si="8"/>
        <v>64</v>
      </c>
      <c r="I86" t="s">
        <v>100</v>
      </c>
      <c r="J86">
        <f t="shared" si="7"/>
        <v>0</v>
      </c>
      <c r="K86">
        <f t="shared" si="6"/>
        <v>0</v>
      </c>
      <c r="L86">
        <f t="shared" si="6"/>
        <v>0</v>
      </c>
      <c r="M86">
        <f t="shared" si="6"/>
        <v>1</v>
      </c>
      <c r="N86">
        <f t="shared" si="6"/>
        <v>0</v>
      </c>
      <c r="O86">
        <f t="shared" si="6"/>
        <v>0</v>
      </c>
      <c r="P86">
        <f t="shared" si="6"/>
        <v>0</v>
      </c>
      <c r="Q86">
        <f t="shared" si="9"/>
        <v>1</v>
      </c>
      <c r="R86">
        <f t="shared" si="10"/>
        <v>0</v>
      </c>
      <c r="S86">
        <v>4.5999999999999996</v>
      </c>
      <c r="T86">
        <v>0</v>
      </c>
      <c r="U86">
        <v>0</v>
      </c>
      <c r="V86" s="5">
        <v>0</v>
      </c>
    </row>
    <row r="87" spans="1:22" x14ac:dyDescent="0.2">
      <c r="A87" t="s">
        <v>118</v>
      </c>
      <c r="B87" t="s">
        <v>35</v>
      </c>
      <c r="C87">
        <v>140</v>
      </c>
      <c r="D87">
        <v>136</v>
      </c>
      <c r="E87" s="1">
        <v>0.25900000000000001</v>
      </c>
      <c r="F87">
        <v>14</v>
      </c>
      <c r="G87" s="2">
        <v>760000</v>
      </c>
      <c r="H87" s="7">
        <f t="shared" si="8"/>
        <v>98</v>
      </c>
      <c r="I87" t="s">
        <v>121</v>
      </c>
      <c r="J87">
        <f t="shared" si="7"/>
        <v>0</v>
      </c>
      <c r="K87">
        <f t="shared" si="6"/>
        <v>0</v>
      </c>
      <c r="L87">
        <f t="shared" si="6"/>
        <v>0</v>
      </c>
      <c r="M87">
        <f t="shared" si="6"/>
        <v>0</v>
      </c>
      <c r="N87">
        <f t="shared" si="6"/>
        <v>0</v>
      </c>
      <c r="O87">
        <f t="shared" si="6"/>
        <v>1</v>
      </c>
      <c r="P87">
        <f t="shared" si="6"/>
        <v>0</v>
      </c>
      <c r="Q87">
        <f t="shared" si="9"/>
        <v>1</v>
      </c>
      <c r="R87">
        <f t="shared" si="10"/>
        <v>0</v>
      </c>
      <c r="S87">
        <v>1.9</v>
      </c>
      <c r="T87">
        <v>0</v>
      </c>
      <c r="U87">
        <v>0</v>
      </c>
      <c r="V87" s="5">
        <v>0</v>
      </c>
    </row>
    <row r="88" spans="1:22" x14ac:dyDescent="0.2">
      <c r="A88" t="s">
        <v>148</v>
      </c>
      <c r="B88" t="s">
        <v>70</v>
      </c>
      <c r="C88">
        <v>148</v>
      </c>
      <c r="D88">
        <v>160</v>
      </c>
      <c r="E88" s="1">
        <v>0.28799999999999998</v>
      </c>
      <c r="F88">
        <v>37</v>
      </c>
      <c r="G88" s="2">
        <v>8500000</v>
      </c>
      <c r="H88" s="7">
        <f t="shared" si="8"/>
        <v>71</v>
      </c>
      <c r="I88" t="s">
        <v>186</v>
      </c>
      <c r="J88">
        <f t="shared" si="7"/>
        <v>1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9"/>
        <v>0</v>
      </c>
      <c r="R88">
        <f t="shared" si="10"/>
        <v>0</v>
      </c>
      <c r="S88">
        <v>5.4</v>
      </c>
      <c r="T88">
        <v>0</v>
      </c>
      <c r="U88">
        <v>0</v>
      </c>
      <c r="V88" s="5">
        <v>0</v>
      </c>
    </row>
    <row r="89" spans="1:22" x14ac:dyDescent="0.2">
      <c r="A89" t="s">
        <v>72</v>
      </c>
      <c r="B89" t="s">
        <v>73</v>
      </c>
      <c r="C89">
        <v>100</v>
      </c>
      <c r="D89">
        <v>90</v>
      </c>
      <c r="E89" s="1">
        <v>0.23</v>
      </c>
      <c r="F89">
        <v>15</v>
      </c>
      <c r="G89" s="2">
        <v>2000000</v>
      </c>
      <c r="H89" s="7">
        <f t="shared" si="8"/>
        <v>95</v>
      </c>
      <c r="I89" t="s">
        <v>76</v>
      </c>
      <c r="J89">
        <f t="shared" si="7"/>
        <v>0</v>
      </c>
      <c r="K89">
        <f t="shared" si="6"/>
        <v>0</v>
      </c>
      <c r="L89">
        <f t="shared" si="6"/>
        <v>1</v>
      </c>
      <c r="M89">
        <f t="shared" si="6"/>
        <v>0</v>
      </c>
      <c r="N89">
        <f t="shared" si="6"/>
        <v>0</v>
      </c>
      <c r="O89">
        <f t="shared" si="6"/>
        <v>0</v>
      </c>
      <c r="P89">
        <f t="shared" si="6"/>
        <v>0</v>
      </c>
      <c r="Q89">
        <f t="shared" si="9"/>
        <v>0</v>
      </c>
      <c r="R89">
        <f t="shared" si="10"/>
        <v>1</v>
      </c>
      <c r="S89">
        <v>0.5</v>
      </c>
      <c r="T89">
        <v>0</v>
      </c>
      <c r="U89">
        <v>0</v>
      </c>
      <c r="V89" s="5">
        <v>0</v>
      </c>
    </row>
    <row r="90" spans="1:22" x14ac:dyDescent="0.2">
      <c r="A90" t="s">
        <v>172</v>
      </c>
      <c r="B90" t="s">
        <v>44</v>
      </c>
      <c r="C90">
        <v>132</v>
      </c>
      <c r="D90">
        <v>126</v>
      </c>
      <c r="E90" s="1">
        <v>0.25700000000000001</v>
      </c>
      <c r="F90">
        <v>12</v>
      </c>
      <c r="G90" s="2">
        <v>10000000</v>
      </c>
      <c r="H90" s="7">
        <f t="shared" si="8"/>
        <v>64</v>
      </c>
      <c r="I90" t="s">
        <v>186</v>
      </c>
      <c r="J90">
        <f t="shared" si="7"/>
        <v>1</v>
      </c>
      <c r="K90">
        <f t="shared" si="6"/>
        <v>0</v>
      </c>
      <c r="L90">
        <f t="shared" si="6"/>
        <v>0</v>
      </c>
      <c r="M90">
        <f t="shared" si="6"/>
        <v>0</v>
      </c>
      <c r="N90">
        <f t="shared" si="6"/>
        <v>0</v>
      </c>
      <c r="O90">
        <f t="shared" si="6"/>
        <v>0</v>
      </c>
      <c r="P90">
        <f t="shared" si="6"/>
        <v>0</v>
      </c>
      <c r="Q90">
        <f t="shared" si="9"/>
        <v>0</v>
      </c>
      <c r="R90">
        <f t="shared" si="10"/>
        <v>0</v>
      </c>
      <c r="S90">
        <v>1.4</v>
      </c>
      <c r="T90">
        <v>0</v>
      </c>
      <c r="U90">
        <v>0</v>
      </c>
      <c r="V90" s="5">
        <v>0</v>
      </c>
    </row>
    <row r="91" spans="1:22" x14ac:dyDescent="0.2">
      <c r="A91" t="s">
        <v>138</v>
      </c>
      <c r="B91" t="s">
        <v>41</v>
      </c>
      <c r="C91">
        <v>152</v>
      </c>
      <c r="D91">
        <v>155</v>
      </c>
      <c r="E91" s="1">
        <v>0.26800000000000002</v>
      </c>
      <c r="F91">
        <v>34</v>
      </c>
      <c r="G91" s="2">
        <v>16000000</v>
      </c>
      <c r="H91" s="7">
        <f t="shared" si="8"/>
        <v>39</v>
      </c>
      <c r="I91" t="s">
        <v>141</v>
      </c>
      <c r="J91">
        <f t="shared" si="7"/>
        <v>0</v>
      </c>
      <c r="K91">
        <f t="shared" si="6"/>
        <v>0</v>
      </c>
      <c r="L91">
        <f t="shared" si="6"/>
        <v>0</v>
      </c>
      <c r="M91">
        <f t="shared" si="6"/>
        <v>0</v>
      </c>
      <c r="N91">
        <f t="shared" si="6"/>
        <v>0</v>
      </c>
      <c r="O91">
        <f t="shared" si="6"/>
        <v>0</v>
      </c>
      <c r="P91">
        <f t="shared" si="6"/>
        <v>1</v>
      </c>
      <c r="Q91">
        <f t="shared" si="9"/>
        <v>0</v>
      </c>
      <c r="R91">
        <f t="shared" si="10"/>
        <v>0</v>
      </c>
      <c r="S91">
        <v>2.9</v>
      </c>
      <c r="T91">
        <v>0</v>
      </c>
      <c r="U91">
        <v>0</v>
      </c>
      <c r="V91" s="5">
        <v>0</v>
      </c>
    </row>
    <row r="92" spans="1:22" x14ac:dyDescent="0.2">
      <c r="A92" t="s">
        <v>117</v>
      </c>
      <c r="B92" t="s">
        <v>46</v>
      </c>
      <c r="C92">
        <v>125</v>
      </c>
      <c r="D92">
        <v>120</v>
      </c>
      <c r="E92" s="1">
        <v>0.252</v>
      </c>
      <c r="F92">
        <v>12</v>
      </c>
      <c r="G92" s="2">
        <v>760000</v>
      </c>
      <c r="H92" s="7">
        <f t="shared" si="8"/>
        <v>98</v>
      </c>
      <c r="I92" t="s">
        <v>121</v>
      </c>
      <c r="J92">
        <f t="shared" si="7"/>
        <v>0</v>
      </c>
      <c r="K92">
        <f t="shared" si="6"/>
        <v>0</v>
      </c>
      <c r="L92">
        <f t="shared" si="6"/>
        <v>0</v>
      </c>
      <c r="M92">
        <f t="shared" si="6"/>
        <v>0</v>
      </c>
      <c r="N92">
        <f t="shared" si="6"/>
        <v>0</v>
      </c>
      <c r="O92">
        <f t="shared" si="6"/>
        <v>1</v>
      </c>
      <c r="P92">
        <f t="shared" si="6"/>
        <v>0</v>
      </c>
      <c r="Q92">
        <f t="shared" si="9"/>
        <v>1</v>
      </c>
      <c r="R92">
        <f t="shared" si="10"/>
        <v>0</v>
      </c>
      <c r="S92">
        <v>1.8</v>
      </c>
      <c r="T92">
        <v>0</v>
      </c>
      <c r="U92">
        <v>0</v>
      </c>
      <c r="V92" s="5">
        <v>0</v>
      </c>
    </row>
    <row r="93" spans="1:22" x14ac:dyDescent="0.2">
      <c r="A93" t="s">
        <v>78</v>
      </c>
      <c r="B93" t="s">
        <v>34</v>
      </c>
      <c r="C93">
        <v>158</v>
      </c>
      <c r="D93">
        <v>180</v>
      </c>
      <c r="E93" s="1">
        <v>0.27800000000000002</v>
      </c>
      <c r="F93">
        <v>28</v>
      </c>
      <c r="G93" s="2">
        <v>25000000</v>
      </c>
      <c r="H93" s="7">
        <f t="shared" si="8"/>
        <v>17</v>
      </c>
      <c r="I93" t="s">
        <v>100</v>
      </c>
      <c r="J93">
        <f t="shared" si="7"/>
        <v>0</v>
      </c>
      <c r="K93">
        <f t="shared" si="6"/>
        <v>0</v>
      </c>
      <c r="L93">
        <f t="shared" si="6"/>
        <v>0</v>
      </c>
      <c r="M93">
        <f t="shared" si="6"/>
        <v>1</v>
      </c>
      <c r="N93">
        <f t="shared" si="6"/>
        <v>0</v>
      </c>
      <c r="O93">
        <f t="shared" si="6"/>
        <v>0</v>
      </c>
      <c r="P93">
        <f t="shared" si="6"/>
        <v>0</v>
      </c>
      <c r="Q93">
        <f t="shared" si="9"/>
        <v>1</v>
      </c>
      <c r="R93">
        <f t="shared" si="10"/>
        <v>0</v>
      </c>
      <c r="S93">
        <v>5</v>
      </c>
      <c r="T93">
        <v>0</v>
      </c>
      <c r="U93">
        <v>0</v>
      </c>
      <c r="V93" s="5">
        <v>0</v>
      </c>
    </row>
    <row r="94" spans="1:22" x14ac:dyDescent="0.2">
      <c r="A94" t="s">
        <v>169</v>
      </c>
      <c r="B94" t="s">
        <v>57</v>
      </c>
      <c r="C94">
        <v>139</v>
      </c>
      <c r="D94">
        <v>133</v>
      </c>
      <c r="E94" s="1">
        <v>0.26</v>
      </c>
      <c r="F94">
        <v>16</v>
      </c>
      <c r="G94" s="2">
        <v>11000000</v>
      </c>
      <c r="H94" s="7">
        <f t="shared" si="8"/>
        <v>61</v>
      </c>
      <c r="I94" t="s">
        <v>186</v>
      </c>
      <c r="J94">
        <f t="shared" si="7"/>
        <v>1</v>
      </c>
      <c r="K94">
        <f t="shared" si="6"/>
        <v>0</v>
      </c>
      <c r="L94">
        <f t="shared" si="6"/>
        <v>0</v>
      </c>
      <c r="M94">
        <f t="shared" si="6"/>
        <v>0</v>
      </c>
      <c r="N94">
        <f t="shared" si="6"/>
        <v>0</v>
      </c>
      <c r="O94">
        <f t="shared" ref="K94:P112" si="11">IF($I94=O$1,1,0)</f>
        <v>0</v>
      </c>
      <c r="P94">
        <f t="shared" si="11"/>
        <v>0</v>
      </c>
      <c r="Q94">
        <f t="shared" si="9"/>
        <v>0</v>
      </c>
      <c r="R94">
        <f t="shared" si="10"/>
        <v>0</v>
      </c>
      <c r="S94">
        <v>1.5</v>
      </c>
      <c r="T94">
        <v>0</v>
      </c>
      <c r="U94">
        <v>0</v>
      </c>
      <c r="V94" s="5">
        <v>0</v>
      </c>
    </row>
    <row r="95" spans="1:22" x14ac:dyDescent="0.2">
      <c r="A95" t="s">
        <v>53</v>
      </c>
      <c r="B95" t="s">
        <v>41</v>
      </c>
      <c r="C95">
        <v>158</v>
      </c>
      <c r="D95">
        <v>170</v>
      </c>
      <c r="E95" s="1">
        <v>0.27200000000000002</v>
      </c>
      <c r="F95">
        <v>44</v>
      </c>
      <c r="G95" s="2">
        <v>22000000</v>
      </c>
      <c r="H95" s="7">
        <f t="shared" si="8"/>
        <v>24</v>
      </c>
      <c r="I95" t="s">
        <v>76</v>
      </c>
      <c r="J95">
        <f t="shared" si="7"/>
        <v>0</v>
      </c>
      <c r="K95">
        <f t="shared" si="11"/>
        <v>0</v>
      </c>
      <c r="L95">
        <f t="shared" si="11"/>
        <v>1</v>
      </c>
      <c r="M95">
        <f t="shared" si="11"/>
        <v>0</v>
      </c>
      <c r="N95">
        <f t="shared" si="11"/>
        <v>0</v>
      </c>
      <c r="O95">
        <f t="shared" si="11"/>
        <v>0</v>
      </c>
      <c r="P95">
        <f t="shared" si="11"/>
        <v>0</v>
      </c>
      <c r="Q95">
        <f t="shared" si="9"/>
        <v>0</v>
      </c>
      <c r="R95">
        <f t="shared" si="10"/>
        <v>1</v>
      </c>
      <c r="S95">
        <v>5</v>
      </c>
      <c r="T95">
        <v>0</v>
      </c>
      <c r="U95">
        <v>1</v>
      </c>
      <c r="V95" s="5">
        <v>0</v>
      </c>
    </row>
    <row r="96" spans="1:22" x14ac:dyDescent="0.2">
      <c r="A96" t="s">
        <v>156</v>
      </c>
      <c r="B96" t="s">
        <v>41</v>
      </c>
      <c r="C96">
        <v>150</v>
      </c>
      <c r="D96">
        <v>158</v>
      </c>
      <c r="E96" s="1">
        <v>0.28499999999999998</v>
      </c>
      <c r="F96">
        <v>20</v>
      </c>
      <c r="G96" s="2">
        <v>5000000</v>
      </c>
      <c r="H96" s="7">
        <f t="shared" si="8"/>
        <v>83</v>
      </c>
      <c r="I96" t="s">
        <v>186</v>
      </c>
      <c r="J96">
        <f t="shared" si="7"/>
        <v>1</v>
      </c>
      <c r="K96">
        <f t="shared" si="11"/>
        <v>0</v>
      </c>
      <c r="L96">
        <f t="shared" si="11"/>
        <v>0</v>
      </c>
      <c r="M96">
        <f t="shared" si="11"/>
        <v>0</v>
      </c>
      <c r="N96">
        <f t="shared" si="11"/>
        <v>0</v>
      </c>
      <c r="O96">
        <f t="shared" si="11"/>
        <v>0</v>
      </c>
      <c r="P96">
        <f t="shared" si="11"/>
        <v>0</v>
      </c>
      <c r="Q96">
        <f t="shared" si="9"/>
        <v>0</v>
      </c>
      <c r="R96">
        <f t="shared" si="10"/>
        <v>0</v>
      </c>
      <c r="S96">
        <v>4.4000000000000004</v>
      </c>
      <c r="T96">
        <v>0</v>
      </c>
      <c r="U96">
        <v>0</v>
      </c>
      <c r="V96" s="5">
        <v>0</v>
      </c>
    </row>
    <row r="97" spans="1:22" x14ac:dyDescent="0.2">
      <c r="A97" t="s">
        <v>99</v>
      </c>
      <c r="B97" t="s">
        <v>29</v>
      </c>
      <c r="C97">
        <v>130</v>
      </c>
      <c r="D97">
        <v>119</v>
      </c>
      <c r="E97" s="1">
        <v>0.249</v>
      </c>
      <c r="F97">
        <v>17</v>
      </c>
      <c r="G97" s="2">
        <v>760000</v>
      </c>
      <c r="H97" s="7">
        <f t="shared" si="8"/>
        <v>98</v>
      </c>
      <c r="I97" t="s">
        <v>121</v>
      </c>
      <c r="J97">
        <f t="shared" si="7"/>
        <v>0</v>
      </c>
      <c r="K97">
        <f t="shared" si="11"/>
        <v>0</v>
      </c>
      <c r="L97">
        <f t="shared" si="11"/>
        <v>0</v>
      </c>
      <c r="M97">
        <f t="shared" si="11"/>
        <v>0</v>
      </c>
      <c r="N97">
        <f t="shared" si="11"/>
        <v>0</v>
      </c>
      <c r="O97">
        <f t="shared" si="11"/>
        <v>1</v>
      </c>
      <c r="P97">
        <f t="shared" si="11"/>
        <v>0</v>
      </c>
      <c r="Q97">
        <f t="shared" si="9"/>
        <v>1</v>
      </c>
      <c r="R97">
        <f t="shared" si="10"/>
        <v>0</v>
      </c>
      <c r="S97">
        <v>1.9</v>
      </c>
      <c r="T97">
        <v>0</v>
      </c>
      <c r="U97">
        <v>0</v>
      </c>
      <c r="V97" s="5">
        <v>0</v>
      </c>
    </row>
    <row r="98" spans="1:22" x14ac:dyDescent="0.2">
      <c r="A98" t="s">
        <v>129</v>
      </c>
      <c r="B98" t="s">
        <v>57</v>
      </c>
      <c r="C98">
        <v>118</v>
      </c>
      <c r="D98">
        <v>112</v>
      </c>
      <c r="E98" s="1">
        <v>0.25900000000000001</v>
      </c>
      <c r="F98">
        <v>15</v>
      </c>
      <c r="G98" s="2">
        <v>32000000</v>
      </c>
      <c r="H98" s="7">
        <f t="shared" si="8"/>
        <v>7</v>
      </c>
      <c r="I98" t="s">
        <v>141</v>
      </c>
      <c r="J98">
        <f t="shared" si="7"/>
        <v>0</v>
      </c>
      <c r="K98">
        <f t="shared" si="11"/>
        <v>0</v>
      </c>
      <c r="L98">
        <f t="shared" si="11"/>
        <v>0</v>
      </c>
      <c r="M98">
        <f t="shared" si="11"/>
        <v>0</v>
      </c>
      <c r="N98">
        <f t="shared" si="11"/>
        <v>0</v>
      </c>
      <c r="O98">
        <f t="shared" si="11"/>
        <v>0</v>
      </c>
      <c r="P98">
        <f t="shared" si="11"/>
        <v>1</v>
      </c>
      <c r="Q98">
        <f t="shared" si="9"/>
        <v>0</v>
      </c>
      <c r="R98">
        <f t="shared" si="10"/>
        <v>0</v>
      </c>
      <c r="S98">
        <v>0</v>
      </c>
      <c r="T98">
        <v>0</v>
      </c>
      <c r="U98">
        <v>0</v>
      </c>
      <c r="V98" s="5">
        <v>0</v>
      </c>
    </row>
    <row r="99" spans="1:22" x14ac:dyDescent="0.2">
      <c r="A99" t="s">
        <v>147</v>
      </c>
      <c r="B99" t="s">
        <v>96</v>
      </c>
      <c r="C99">
        <v>140</v>
      </c>
      <c r="D99">
        <v>145</v>
      </c>
      <c r="E99" s="1">
        <v>0.29099999999999998</v>
      </c>
      <c r="F99">
        <v>33</v>
      </c>
      <c r="G99" s="2">
        <v>37000000</v>
      </c>
      <c r="H99" s="7">
        <f t="shared" si="8"/>
        <v>3</v>
      </c>
      <c r="I99" t="s">
        <v>186</v>
      </c>
      <c r="J99">
        <f t="shared" si="7"/>
        <v>1</v>
      </c>
      <c r="K99">
        <f t="shared" si="11"/>
        <v>0</v>
      </c>
      <c r="L99">
        <f t="shared" si="11"/>
        <v>0</v>
      </c>
      <c r="M99">
        <f t="shared" si="11"/>
        <v>0</v>
      </c>
      <c r="N99">
        <f t="shared" si="11"/>
        <v>0</v>
      </c>
      <c r="O99">
        <f t="shared" si="11"/>
        <v>0</v>
      </c>
      <c r="P99">
        <f t="shared" si="11"/>
        <v>0</v>
      </c>
      <c r="Q99">
        <f t="shared" si="9"/>
        <v>0</v>
      </c>
      <c r="R99">
        <f t="shared" si="10"/>
        <v>0</v>
      </c>
      <c r="S99">
        <v>6.2</v>
      </c>
      <c r="T99">
        <v>0</v>
      </c>
      <c r="U99">
        <v>1</v>
      </c>
      <c r="V99" s="5">
        <v>0</v>
      </c>
    </row>
    <row r="100" spans="1:22" x14ac:dyDescent="0.2">
      <c r="A100" t="s">
        <v>179</v>
      </c>
      <c r="B100" t="s">
        <v>29</v>
      </c>
      <c r="C100">
        <v>140</v>
      </c>
      <c r="D100">
        <v>136</v>
      </c>
      <c r="E100" s="1">
        <v>0.26</v>
      </c>
      <c r="F100">
        <v>19</v>
      </c>
      <c r="G100" s="2">
        <v>760000</v>
      </c>
      <c r="H100" s="7">
        <f t="shared" si="8"/>
        <v>98</v>
      </c>
      <c r="I100" t="s">
        <v>186</v>
      </c>
      <c r="J100">
        <f t="shared" si="7"/>
        <v>1</v>
      </c>
      <c r="K100">
        <f t="shared" si="11"/>
        <v>0</v>
      </c>
      <c r="L100">
        <f t="shared" si="11"/>
        <v>0</v>
      </c>
      <c r="M100">
        <f t="shared" si="11"/>
        <v>0</v>
      </c>
      <c r="N100">
        <f t="shared" si="11"/>
        <v>0</v>
      </c>
      <c r="O100">
        <f t="shared" si="11"/>
        <v>0</v>
      </c>
      <c r="P100">
        <f t="shared" si="11"/>
        <v>0</v>
      </c>
      <c r="Q100">
        <f t="shared" si="9"/>
        <v>0</v>
      </c>
      <c r="R100">
        <f t="shared" si="10"/>
        <v>0</v>
      </c>
      <c r="S100">
        <v>2</v>
      </c>
      <c r="T100">
        <v>0</v>
      </c>
      <c r="U100">
        <v>0</v>
      </c>
      <c r="V100" s="5">
        <v>0</v>
      </c>
    </row>
    <row r="101" spans="1:22" x14ac:dyDescent="0.2">
      <c r="A101" t="s">
        <v>145</v>
      </c>
      <c r="B101" t="s">
        <v>28</v>
      </c>
      <c r="C101">
        <v>156</v>
      </c>
      <c r="D101">
        <v>177</v>
      </c>
      <c r="E101" s="1">
        <v>0.29199999999999998</v>
      </c>
      <c r="F101">
        <v>35</v>
      </c>
      <c r="G101" s="2">
        <v>30000000</v>
      </c>
      <c r="H101" s="7">
        <f t="shared" si="8"/>
        <v>10</v>
      </c>
      <c r="I101" t="s">
        <v>186</v>
      </c>
      <c r="J101">
        <f t="shared" si="7"/>
        <v>1</v>
      </c>
      <c r="K101">
        <f t="shared" si="7"/>
        <v>0</v>
      </c>
      <c r="L101">
        <f t="shared" si="7"/>
        <v>0</v>
      </c>
      <c r="M101">
        <f t="shared" si="7"/>
        <v>0</v>
      </c>
      <c r="N101">
        <f t="shared" si="7"/>
        <v>0</v>
      </c>
      <c r="O101">
        <f t="shared" si="7"/>
        <v>0</v>
      </c>
      <c r="P101">
        <f t="shared" si="11"/>
        <v>0</v>
      </c>
      <c r="Q101">
        <f t="shared" si="9"/>
        <v>0</v>
      </c>
      <c r="R101">
        <f t="shared" si="10"/>
        <v>0</v>
      </c>
      <c r="S101">
        <v>8</v>
      </c>
      <c r="T101">
        <v>0</v>
      </c>
      <c r="U101">
        <v>0</v>
      </c>
      <c r="V101" s="5">
        <v>0</v>
      </c>
    </row>
    <row r="102" spans="1:22" x14ac:dyDescent="0.2">
      <c r="A102" t="s">
        <v>54</v>
      </c>
      <c r="B102" t="s">
        <v>34</v>
      </c>
      <c r="C102">
        <v>147</v>
      </c>
      <c r="D102">
        <v>142</v>
      </c>
      <c r="E102" s="1">
        <v>0.26800000000000002</v>
      </c>
      <c r="F102">
        <v>20</v>
      </c>
      <c r="G102" s="2">
        <v>760000</v>
      </c>
      <c r="H102" s="7">
        <f t="shared" si="8"/>
        <v>98</v>
      </c>
      <c r="I102" t="s">
        <v>76</v>
      </c>
      <c r="J102">
        <f t="shared" si="7"/>
        <v>0</v>
      </c>
      <c r="K102">
        <f t="shared" si="7"/>
        <v>0</v>
      </c>
      <c r="L102">
        <f t="shared" si="7"/>
        <v>1</v>
      </c>
      <c r="M102">
        <f t="shared" si="7"/>
        <v>0</v>
      </c>
      <c r="N102">
        <f t="shared" si="7"/>
        <v>0</v>
      </c>
      <c r="O102">
        <f t="shared" si="7"/>
        <v>0</v>
      </c>
      <c r="P102">
        <f t="shared" si="11"/>
        <v>0</v>
      </c>
      <c r="Q102">
        <f t="shared" si="9"/>
        <v>0</v>
      </c>
      <c r="R102">
        <f t="shared" si="10"/>
        <v>1</v>
      </c>
      <c r="S102">
        <v>2.2999999999999998</v>
      </c>
      <c r="T102">
        <v>0</v>
      </c>
      <c r="U102">
        <v>0</v>
      </c>
      <c r="V102" s="5">
        <v>0</v>
      </c>
    </row>
    <row r="103" spans="1:22" x14ac:dyDescent="0.2">
      <c r="A103" t="s">
        <v>128</v>
      </c>
      <c r="B103" t="s">
        <v>89</v>
      </c>
      <c r="C103">
        <v>120</v>
      </c>
      <c r="D103">
        <v>110</v>
      </c>
      <c r="E103" s="1">
        <v>0.251</v>
      </c>
      <c r="F103">
        <v>21</v>
      </c>
      <c r="G103" s="2">
        <v>2000000</v>
      </c>
      <c r="H103" s="7">
        <f t="shared" si="8"/>
        <v>95</v>
      </c>
      <c r="I103" t="s">
        <v>141</v>
      </c>
      <c r="J103">
        <f t="shared" si="7"/>
        <v>0</v>
      </c>
      <c r="K103">
        <f t="shared" si="7"/>
        <v>0</v>
      </c>
      <c r="L103">
        <f t="shared" si="7"/>
        <v>0</v>
      </c>
      <c r="M103">
        <f t="shared" si="7"/>
        <v>0</v>
      </c>
      <c r="N103">
        <f t="shared" si="7"/>
        <v>0</v>
      </c>
      <c r="O103">
        <f t="shared" si="7"/>
        <v>0</v>
      </c>
      <c r="P103">
        <f t="shared" si="11"/>
        <v>1</v>
      </c>
      <c r="Q103">
        <f t="shared" si="9"/>
        <v>0</v>
      </c>
      <c r="R103">
        <f t="shared" si="10"/>
        <v>0</v>
      </c>
      <c r="S103">
        <v>0.5</v>
      </c>
      <c r="T103">
        <v>0</v>
      </c>
      <c r="U103">
        <v>0</v>
      </c>
      <c r="V103" s="5">
        <v>0</v>
      </c>
    </row>
    <row r="104" spans="1:22" x14ac:dyDescent="0.2">
      <c r="A104" t="s">
        <v>159</v>
      </c>
      <c r="B104" t="s">
        <v>27</v>
      </c>
      <c r="C104">
        <v>150</v>
      </c>
      <c r="D104">
        <v>155</v>
      </c>
      <c r="E104" s="1">
        <v>0.26900000000000002</v>
      </c>
      <c r="F104">
        <v>22</v>
      </c>
      <c r="G104" s="2">
        <v>20000000</v>
      </c>
      <c r="H104" s="7">
        <f t="shared" si="8"/>
        <v>26</v>
      </c>
      <c r="I104" t="s">
        <v>186</v>
      </c>
      <c r="J104">
        <f t="shared" si="7"/>
        <v>1</v>
      </c>
      <c r="K104">
        <f t="shared" si="7"/>
        <v>0</v>
      </c>
      <c r="L104">
        <f t="shared" si="7"/>
        <v>0</v>
      </c>
      <c r="M104">
        <f t="shared" si="7"/>
        <v>0</v>
      </c>
      <c r="N104">
        <f t="shared" si="7"/>
        <v>0</v>
      </c>
      <c r="O104">
        <f t="shared" si="7"/>
        <v>0</v>
      </c>
      <c r="P104">
        <f t="shared" si="11"/>
        <v>0</v>
      </c>
      <c r="Q104">
        <f t="shared" si="9"/>
        <v>0</v>
      </c>
      <c r="R104">
        <f t="shared" si="10"/>
        <v>0</v>
      </c>
      <c r="S104">
        <v>2.9</v>
      </c>
      <c r="T104">
        <v>0</v>
      </c>
      <c r="U104">
        <v>0</v>
      </c>
      <c r="V104" s="5">
        <v>0</v>
      </c>
    </row>
    <row r="105" spans="1:22" x14ac:dyDescent="0.2">
      <c r="A105" t="s">
        <v>85</v>
      </c>
      <c r="B105" t="s">
        <v>86</v>
      </c>
      <c r="C105">
        <v>148</v>
      </c>
      <c r="D105">
        <v>160</v>
      </c>
      <c r="E105" s="1">
        <v>0.27200000000000002</v>
      </c>
      <c r="F105">
        <v>14</v>
      </c>
      <c r="G105" s="2">
        <v>11125000</v>
      </c>
      <c r="H105" s="7">
        <f t="shared" si="8"/>
        <v>59</v>
      </c>
      <c r="I105" t="s">
        <v>100</v>
      </c>
      <c r="J105">
        <f t="shared" si="7"/>
        <v>0</v>
      </c>
      <c r="K105">
        <f t="shared" si="7"/>
        <v>0</v>
      </c>
      <c r="L105">
        <f t="shared" si="7"/>
        <v>0</v>
      </c>
      <c r="M105">
        <f t="shared" si="7"/>
        <v>1</v>
      </c>
      <c r="N105">
        <f t="shared" si="7"/>
        <v>0</v>
      </c>
      <c r="O105">
        <f t="shared" si="7"/>
        <v>0</v>
      </c>
      <c r="P105">
        <f t="shared" si="11"/>
        <v>0</v>
      </c>
      <c r="Q105">
        <f t="shared" si="9"/>
        <v>1</v>
      </c>
      <c r="R105">
        <f t="shared" si="10"/>
        <v>0</v>
      </c>
      <c r="S105">
        <v>3.8</v>
      </c>
      <c r="T105">
        <v>0</v>
      </c>
      <c r="U105">
        <v>0</v>
      </c>
      <c r="V105" s="5">
        <v>0</v>
      </c>
    </row>
    <row r="106" spans="1:22" x14ac:dyDescent="0.2">
      <c r="A106" t="s">
        <v>108</v>
      </c>
      <c r="B106" t="s">
        <v>40</v>
      </c>
      <c r="C106">
        <v>136</v>
      </c>
      <c r="D106">
        <v>128</v>
      </c>
      <c r="E106" s="1">
        <v>0.25700000000000001</v>
      </c>
      <c r="F106">
        <v>25</v>
      </c>
      <c r="G106" s="2">
        <v>760000</v>
      </c>
      <c r="H106" s="7">
        <f t="shared" si="8"/>
        <v>98</v>
      </c>
      <c r="I106" t="s">
        <v>121</v>
      </c>
      <c r="J106">
        <f t="shared" si="7"/>
        <v>0</v>
      </c>
      <c r="K106">
        <f t="shared" si="7"/>
        <v>0</v>
      </c>
      <c r="L106">
        <f t="shared" si="7"/>
        <v>0</v>
      </c>
      <c r="M106">
        <f t="shared" si="7"/>
        <v>0</v>
      </c>
      <c r="N106">
        <f t="shared" si="7"/>
        <v>0</v>
      </c>
      <c r="O106">
        <f t="shared" si="7"/>
        <v>1</v>
      </c>
      <c r="P106">
        <f t="shared" si="11"/>
        <v>0</v>
      </c>
      <c r="Q106">
        <f t="shared" si="9"/>
        <v>1</v>
      </c>
      <c r="R106">
        <f t="shared" si="10"/>
        <v>0</v>
      </c>
      <c r="S106">
        <v>3.2</v>
      </c>
      <c r="T106">
        <v>0</v>
      </c>
      <c r="U106">
        <v>0</v>
      </c>
      <c r="V106" s="5">
        <v>0</v>
      </c>
    </row>
    <row r="107" spans="1:22" x14ac:dyDescent="0.2">
      <c r="A107" t="s">
        <v>183</v>
      </c>
      <c r="B107" t="s">
        <v>38</v>
      </c>
      <c r="C107">
        <v>125</v>
      </c>
      <c r="D107">
        <v>120</v>
      </c>
      <c r="E107" s="1">
        <v>0.25600000000000001</v>
      </c>
      <c r="F107">
        <v>13</v>
      </c>
      <c r="G107" s="2">
        <v>760000</v>
      </c>
      <c r="H107" s="7">
        <f t="shared" si="8"/>
        <v>98</v>
      </c>
      <c r="I107" t="s">
        <v>186</v>
      </c>
      <c r="J107">
        <f t="shared" si="7"/>
        <v>1</v>
      </c>
      <c r="K107">
        <f t="shared" si="7"/>
        <v>0</v>
      </c>
      <c r="L107">
        <f t="shared" si="7"/>
        <v>0</v>
      </c>
      <c r="M107">
        <f t="shared" si="7"/>
        <v>0</v>
      </c>
      <c r="N107">
        <f t="shared" si="7"/>
        <v>0</v>
      </c>
      <c r="O107">
        <f t="shared" si="7"/>
        <v>0</v>
      </c>
      <c r="P107">
        <f t="shared" si="11"/>
        <v>0</v>
      </c>
      <c r="Q107">
        <f t="shared" si="9"/>
        <v>0</v>
      </c>
      <c r="R107">
        <f t="shared" si="10"/>
        <v>0</v>
      </c>
      <c r="S107">
        <v>1.3</v>
      </c>
      <c r="T107">
        <v>0</v>
      </c>
      <c r="U107">
        <v>0</v>
      </c>
      <c r="V107" s="5">
        <v>0</v>
      </c>
    </row>
    <row r="108" spans="1:22" x14ac:dyDescent="0.2">
      <c r="A108" t="s">
        <v>79</v>
      </c>
      <c r="B108" t="s">
        <v>41</v>
      </c>
      <c r="C108">
        <v>150</v>
      </c>
      <c r="D108">
        <v>162</v>
      </c>
      <c r="E108" s="1">
        <v>0.28399999999999997</v>
      </c>
      <c r="F108">
        <v>27</v>
      </c>
      <c r="G108" s="2">
        <v>7000000</v>
      </c>
      <c r="H108" s="7">
        <f t="shared" si="8"/>
        <v>77</v>
      </c>
      <c r="I108" t="s">
        <v>100</v>
      </c>
      <c r="J108">
        <f t="shared" si="7"/>
        <v>0</v>
      </c>
      <c r="K108">
        <f t="shared" si="7"/>
        <v>0</v>
      </c>
      <c r="L108">
        <f t="shared" si="7"/>
        <v>0</v>
      </c>
      <c r="M108">
        <f t="shared" si="7"/>
        <v>1</v>
      </c>
      <c r="N108">
        <f t="shared" si="7"/>
        <v>0</v>
      </c>
      <c r="O108">
        <f t="shared" si="7"/>
        <v>0</v>
      </c>
      <c r="P108">
        <f t="shared" si="11"/>
        <v>0</v>
      </c>
      <c r="Q108">
        <f t="shared" si="9"/>
        <v>1</v>
      </c>
      <c r="R108">
        <f t="shared" si="10"/>
        <v>0</v>
      </c>
      <c r="S108">
        <v>4.0999999999999996</v>
      </c>
      <c r="T108">
        <v>0</v>
      </c>
      <c r="U108">
        <v>0</v>
      </c>
      <c r="V108" s="5">
        <v>0</v>
      </c>
    </row>
    <row r="109" spans="1:22" x14ac:dyDescent="0.2">
      <c r="A109" t="s">
        <v>26</v>
      </c>
      <c r="B109" t="s">
        <v>46</v>
      </c>
      <c r="C109">
        <v>134</v>
      </c>
      <c r="D109">
        <v>90</v>
      </c>
      <c r="E109" s="1">
        <v>0.222</v>
      </c>
      <c r="F109">
        <v>6</v>
      </c>
      <c r="G109" s="2">
        <v>760000</v>
      </c>
      <c r="H109" s="7">
        <f t="shared" si="8"/>
        <v>98</v>
      </c>
      <c r="I109" t="s">
        <v>47</v>
      </c>
      <c r="J109">
        <f t="shared" si="7"/>
        <v>0</v>
      </c>
      <c r="K109">
        <f t="shared" si="7"/>
        <v>1</v>
      </c>
      <c r="L109">
        <f t="shared" si="7"/>
        <v>0</v>
      </c>
      <c r="M109">
        <f t="shared" si="7"/>
        <v>0</v>
      </c>
      <c r="N109">
        <f t="shared" si="7"/>
        <v>0</v>
      </c>
      <c r="O109">
        <f t="shared" si="7"/>
        <v>0</v>
      </c>
      <c r="P109">
        <f t="shared" si="11"/>
        <v>0</v>
      </c>
      <c r="Q109">
        <f t="shared" si="9"/>
        <v>0</v>
      </c>
      <c r="R109">
        <f t="shared" si="10"/>
        <v>0</v>
      </c>
      <c r="S109">
        <v>1.7</v>
      </c>
      <c r="T109">
        <v>0</v>
      </c>
      <c r="U109">
        <v>1</v>
      </c>
      <c r="V109" s="5">
        <v>0</v>
      </c>
    </row>
    <row r="110" spans="1:22" x14ac:dyDescent="0.2">
      <c r="A110" t="s">
        <v>119</v>
      </c>
      <c r="B110" t="s">
        <v>120</v>
      </c>
      <c r="C110">
        <v>122</v>
      </c>
      <c r="D110">
        <v>108</v>
      </c>
      <c r="E110" s="1">
        <v>0.23699999999999999</v>
      </c>
      <c r="F110">
        <v>16</v>
      </c>
      <c r="G110" s="2">
        <v>4000000</v>
      </c>
      <c r="H110" s="7">
        <f t="shared" si="8"/>
        <v>93</v>
      </c>
      <c r="I110" t="s">
        <v>121</v>
      </c>
      <c r="J110">
        <f t="shared" si="7"/>
        <v>0</v>
      </c>
      <c r="K110">
        <f t="shared" si="7"/>
        <v>0</v>
      </c>
      <c r="L110">
        <f t="shared" si="7"/>
        <v>0</v>
      </c>
      <c r="M110">
        <f t="shared" si="7"/>
        <v>0</v>
      </c>
      <c r="N110">
        <f t="shared" si="7"/>
        <v>0</v>
      </c>
      <c r="O110">
        <f t="shared" si="7"/>
        <v>1</v>
      </c>
      <c r="P110">
        <f t="shared" si="11"/>
        <v>0</v>
      </c>
      <c r="Q110">
        <f t="shared" si="9"/>
        <v>1</v>
      </c>
      <c r="R110">
        <f t="shared" si="10"/>
        <v>0</v>
      </c>
      <c r="S110">
        <v>1</v>
      </c>
      <c r="T110">
        <v>0</v>
      </c>
      <c r="U110">
        <v>0</v>
      </c>
      <c r="V110" s="5">
        <v>0</v>
      </c>
    </row>
    <row r="111" spans="1:22" x14ac:dyDescent="0.2">
      <c r="A111" t="s">
        <v>51</v>
      </c>
      <c r="B111" t="s">
        <v>52</v>
      </c>
      <c r="C111">
        <v>152</v>
      </c>
      <c r="D111">
        <v>162</v>
      </c>
      <c r="E111" s="1">
        <v>0.26700000000000002</v>
      </c>
      <c r="F111">
        <v>23</v>
      </c>
      <c r="G111" s="2">
        <v>26000000</v>
      </c>
      <c r="H111" s="7">
        <f t="shared" si="8"/>
        <v>15</v>
      </c>
      <c r="I111" t="s">
        <v>76</v>
      </c>
      <c r="J111">
        <f t="shared" si="7"/>
        <v>0</v>
      </c>
      <c r="K111">
        <f t="shared" si="7"/>
        <v>0</v>
      </c>
      <c r="L111">
        <f t="shared" si="7"/>
        <v>1</v>
      </c>
      <c r="M111">
        <f t="shared" si="7"/>
        <v>0</v>
      </c>
      <c r="N111">
        <f t="shared" si="7"/>
        <v>0</v>
      </c>
      <c r="O111">
        <f t="shared" si="7"/>
        <v>0</v>
      </c>
      <c r="P111">
        <f t="shared" si="11"/>
        <v>0</v>
      </c>
      <c r="Q111">
        <f t="shared" si="9"/>
        <v>0</v>
      </c>
      <c r="R111">
        <f t="shared" si="10"/>
        <v>1</v>
      </c>
      <c r="S111">
        <v>3.1</v>
      </c>
      <c r="T111">
        <v>0</v>
      </c>
      <c r="U111">
        <v>0</v>
      </c>
      <c r="V111" s="5">
        <v>0</v>
      </c>
    </row>
    <row r="112" spans="1:22" x14ac:dyDescent="0.2">
      <c r="A112" t="s">
        <v>50</v>
      </c>
      <c r="B112" t="s">
        <v>43</v>
      </c>
      <c r="C112">
        <v>150</v>
      </c>
      <c r="D112">
        <v>148</v>
      </c>
      <c r="E112" s="1">
        <v>0.26</v>
      </c>
      <c r="F112">
        <v>41</v>
      </c>
      <c r="G112" s="2">
        <v>20000000</v>
      </c>
      <c r="H112" s="7">
        <f t="shared" si="8"/>
        <v>26</v>
      </c>
      <c r="I112" t="s">
        <v>76</v>
      </c>
      <c r="J112">
        <f t="shared" si="7"/>
        <v>0</v>
      </c>
      <c r="K112">
        <f t="shared" si="7"/>
        <v>0</v>
      </c>
      <c r="L112">
        <f t="shared" si="7"/>
        <v>1</v>
      </c>
      <c r="M112">
        <f t="shared" si="7"/>
        <v>0</v>
      </c>
      <c r="N112">
        <f t="shared" si="7"/>
        <v>0</v>
      </c>
      <c r="O112">
        <f t="shared" si="7"/>
        <v>0</v>
      </c>
      <c r="P112">
        <f t="shared" si="11"/>
        <v>0</v>
      </c>
      <c r="Q112">
        <f t="shared" si="9"/>
        <v>0</v>
      </c>
      <c r="R112">
        <f t="shared" si="10"/>
        <v>1</v>
      </c>
      <c r="S112">
        <v>4</v>
      </c>
      <c r="T112">
        <v>0</v>
      </c>
      <c r="U112">
        <v>0</v>
      </c>
      <c r="V112" s="5">
        <v>0</v>
      </c>
    </row>
    <row r="113" spans="1:22" x14ac:dyDescent="0.2">
      <c r="A113" t="s">
        <v>154</v>
      </c>
      <c r="B113" t="s">
        <v>83</v>
      </c>
      <c r="C113">
        <v>147</v>
      </c>
      <c r="D113">
        <v>150</v>
      </c>
      <c r="E113" s="1">
        <v>0.26400000000000001</v>
      </c>
      <c r="F113">
        <v>25</v>
      </c>
      <c r="G113" s="2">
        <v>4800000</v>
      </c>
      <c r="H113" s="7">
        <f t="shared" si="8"/>
        <v>87</v>
      </c>
      <c r="I113" t="s">
        <v>186</v>
      </c>
      <c r="J113">
        <f t="shared" si="7"/>
        <v>1</v>
      </c>
      <c r="K113">
        <f t="shared" si="7"/>
        <v>0</v>
      </c>
      <c r="L113">
        <f t="shared" si="7"/>
        <v>0</v>
      </c>
      <c r="M113">
        <f t="shared" si="7"/>
        <v>0</v>
      </c>
      <c r="N113">
        <f t="shared" si="7"/>
        <v>0</v>
      </c>
      <c r="O113">
        <f t="shared" si="7"/>
        <v>0</v>
      </c>
      <c r="P113">
        <f t="shared" si="7"/>
        <v>0</v>
      </c>
      <c r="Q113">
        <f t="shared" si="9"/>
        <v>0</v>
      </c>
      <c r="R113">
        <f t="shared" si="10"/>
        <v>0</v>
      </c>
      <c r="S113">
        <v>3.5</v>
      </c>
      <c r="T113">
        <v>0</v>
      </c>
      <c r="U113">
        <v>0</v>
      </c>
      <c r="V113" s="5">
        <v>0</v>
      </c>
    </row>
    <row r="114" spans="1:22" x14ac:dyDescent="0.2">
      <c r="A114" t="s">
        <v>58</v>
      </c>
      <c r="B114" t="s">
        <v>32</v>
      </c>
      <c r="C114">
        <v>142</v>
      </c>
      <c r="D114">
        <v>128</v>
      </c>
      <c r="E114" s="1">
        <v>0.248</v>
      </c>
      <c r="F114">
        <v>27</v>
      </c>
      <c r="G114" s="2">
        <v>12000000</v>
      </c>
      <c r="H114" s="7">
        <f t="shared" si="8"/>
        <v>50</v>
      </c>
      <c r="I114" t="s">
        <v>76</v>
      </c>
      <c r="J114">
        <f t="shared" si="7"/>
        <v>0</v>
      </c>
      <c r="K114">
        <f t="shared" si="7"/>
        <v>0</v>
      </c>
      <c r="L114">
        <f t="shared" si="7"/>
        <v>1</v>
      </c>
      <c r="M114">
        <f t="shared" si="7"/>
        <v>0</v>
      </c>
      <c r="N114">
        <f t="shared" si="7"/>
        <v>0</v>
      </c>
      <c r="O114">
        <f t="shared" si="7"/>
        <v>0</v>
      </c>
      <c r="P114">
        <f t="shared" si="7"/>
        <v>0</v>
      </c>
      <c r="Q114">
        <f t="shared" si="9"/>
        <v>0</v>
      </c>
      <c r="R114">
        <f t="shared" si="10"/>
        <v>1</v>
      </c>
      <c r="S114">
        <v>2.7</v>
      </c>
      <c r="T114">
        <v>0</v>
      </c>
      <c r="U114">
        <v>0</v>
      </c>
      <c r="V114" s="5">
        <v>0</v>
      </c>
    </row>
    <row r="115" spans="1:22" x14ac:dyDescent="0.2">
      <c r="A115" t="s">
        <v>144</v>
      </c>
      <c r="B115" t="s">
        <v>41</v>
      </c>
      <c r="C115">
        <v>154</v>
      </c>
      <c r="D115">
        <v>184</v>
      </c>
      <c r="E115" s="1">
        <v>0.32400000000000001</v>
      </c>
      <c r="F115">
        <v>38</v>
      </c>
      <c r="G115" s="2">
        <v>17000000</v>
      </c>
      <c r="H115" s="7">
        <f t="shared" si="8"/>
        <v>36</v>
      </c>
      <c r="I115" t="s">
        <v>186</v>
      </c>
      <c r="J115">
        <f t="shared" si="7"/>
        <v>1</v>
      </c>
      <c r="K115">
        <f t="shared" si="7"/>
        <v>0</v>
      </c>
      <c r="L115">
        <f t="shared" si="7"/>
        <v>0</v>
      </c>
      <c r="M115">
        <f t="shared" si="7"/>
        <v>0</v>
      </c>
      <c r="N115">
        <f t="shared" si="7"/>
        <v>0</v>
      </c>
      <c r="O115">
        <f t="shared" si="7"/>
        <v>0</v>
      </c>
      <c r="P115">
        <f t="shared" si="7"/>
        <v>0</v>
      </c>
      <c r="Q115">
        <f t="shared" si="9"/>
        <v>0</v>
      </c>
      <c r="R115">
        <f t="shared" si="10"/>
        <v>0</v>
      </c>
      <c r="S115">
        <v>8.5</v>
      </c>
      <c r="T115">
        <v>0</v>
      </c>
      <c r="U115">
        <v>0</v>
      </c>
      <c r="V115" s="5">
        <v>0</v>
      </c>
    </row>
    <row r="116" spans="1:22" x14ac:dyDescent="0.2">
      <c r="A116" t="s">
        <v>61</v>
      </c>
      <c r="B116" t="s">
        <v>40</v>
      </c>
      <c r="C116">
        <v>130</v>
      </c>
      <c r="D116">
        <v>115</v>
      </c>
      <c r="E116" s="1">
        <v>0.24299999999999999</v>
      </c>
      <c r="F116">
        <v>20</v>
      </c>
      <c r="G116" s="2">
        <v>760000</v>
      </c>
      <c r="H116" s="7">
        <f t="shared" si="8"/>
        <v>98</v>
      </c>
      <c r="I116" t="s">
        <v>76</v>
      </c>
      <c r="J116">
        <f t="shared" si="7"/>
        <v>0</v>
      </c>
      <c r="K116">
        <f t="shared" si="7"/>
        <v>0</v>
      </c>
      <c r="L116">
        <f t="shared" si="7"/>
        <v>1</v>
      </c>
      <c r="M116">
        <f t="shared" si="7"/>
        <v>0</v>
      </c>
      <c r="N116">
        <f t="shared" si="7"/>
        <v>0</v>
      </c>
      <c r="O116">
        <f t="shared" si="7"/>
        <v>0</v>
      </c>
      <c r="P116">
        <f t="shared" si="7"/>
        <v>0</v>
      </c>
      <c r="Q116">
        <f t="shared" si="9"/>
        <v>0</v>
      </c>
      <c r="R116">
        <f t="shared" si="10"/>
        <v>1</v>
      </c>
      <c r="S116">
        <v>1.6</v>
      </c>
      <c r="T116">
        <v>0</v>
      </c>
      <c r="U116">
        <v>0</v>
      </c>
      <c r="V116" s="5">
        <v>0</v>
      </c>
    </row>
    <row r="117" spans="1:22" x14ac:dyDescent="0.2">
      <c r="A117" t="s">
        <v>9</v>
      </c>
      <c r="B117" t="s">
        <v>29</v>
      </c>
      <c r="C117">
        <v>152</v>
      </c>
      <c r="D117">
        <v>130</v>
      </c>
      <c r="E117" s="1">
        <v>0.23599999999999999</v>
      </c>
      <c r="F117">
        <v>30</v>
      </c>
      <c r="G117" s="2">
        <v>20500000</v>
      </c>
      <c r="H117" s="7">
        <f t="shared" si="8"/>
        <v>25</v>
      </c>
      <c r="I117" t="s">
        <v>47</v>
      </c>
      <c r="J117">
        <f t="shared" ref="J117:P141" si="12">IF($I117=J$1,1,0)</f>
        <v>0</v>
      </c>
      <c r="K117">
        <f t="shared" si="12"/>
        <v>1</v>
      </c>
      <c r="L117">
        <f t="shared" si="12"/>
        <v>0</v>
      </c>
      <c r="M117">
        <f t="shared" si="12"/>
        <v>0</v>
      </c>
      <c r="N117">
        <f t="shared" si="12"/>
        <v>0</v>
      </c>
      <c r="O117">
        <f t="shared" si="12"/>
        <v>0</v>
      </c>
      <c r="P117">
        <f t="shared" si="12"/>
        <v>0</v>
      </c>
      <c r="Q117">
        <f t="shared" si="9"/>
        <v>0</v>
      </c>
      <c r="R117">
        <f t="shared" si="10"/>
        <v>0</v>
      </c>
      <c r="S117">
        <v>2.1</v>
      </c>
      <c r="T117">
        <v>0</v>
      </c>
      <c r="U117">
        <v>0</v>
      </c>
      <c r="V117" s="5">
        <v>0</v>
      </c>
    </row>
    <row r="118" spans="1:22" x14ac:dyDescent="0.2">
      <c r="A118" t="s">
        <v>21</v>
      </c>
      <c r="B118" t="s">
        <v>41</v>
      </c>
      <c r="C118">
        <v>120</v>
      </c>
      <c r="D118">
        <v>104</v>
      </c>
      <c r="E118" s="1">
        <v>0.26900000000000002</v>
      </c>
      <c r="F118">
        <v>20</v>
      </c>
      <c r="G118" s="2">
        <v>4040000</v>
      </c>
      <c r="H118" s="7">
        <f t="shared" si="8"/>
        <v>92</v>
      </c>
      <c r="I118" t="s">
        <v>47</v>
      </c>
      <c r="J118">
        <f t="shared" si="12"/>
        <v>0</v>
      </c>
      <c r="K118">
        <f t="shared" si="12"/>
        <v>1</v>
      </c>
      <c r="L118">
        <f t="shared" si="12"/>
        <v>0</v>
      </c>
      <c r="M118">
        <f t="shared" si="12"/>
        <v>0</v>
      </c>
      <c r="N118">
        <f t="shared" si="12"/>
        <v>0</v>
      </c>
      <c r="O118">
        <f t="shared" si="12"/>
        <v>0</v>
      </c>
      <c r="P118">
        <f t="shared" si="12"/>
        <v>0</v>
      </c>
      <c r="Q118">
        <f t="shared" si="9"/>
        <v>0</v>
      </c>
      <c r="R118">
        <f t="shared" si="10"/>
        <v>0</v>
      </c>
      <c r="S118">
        <v>3.7</v>
      </c>
      <c r="T118">
        <v>0</v>
      </c>
      <c r="U118">
        <v>0</v>
      </c>
      <c r="V118" s="5">
        <v>0</v>
      </c>
    </row>
    <row r="119" spans="1:22" x14ac:dyDescent="0.2">
      <c r="A119" t="s">
        <v>152</v>
      </c>
      <c r="B119" t="s">
        <v>86</v>
      </c>
      <c r="C119">
        <v>145</v>
      </c>
      <c r="D119">
        <v>155</v>
      </c>
      <c r="E119" s="1">
        <v>0.28499999999999998</v>
      </c>
      <c r="F119">
        <v>27</v>
      </c>
      <c r="G119" s="2">
        <v>17000000</v>
      </c>
      <c r="H119" s="7">
        <f t="shared" si="8"/>
        <v>36</v>
      </c>
      <c r="I119" t="s">
        <v>186</v>
      </c>
      <c r="J119">
        <f t="shared" si="12"/>
        <v>1</v>
      </c>
      <c r="K119">
        <f t="shared" si="12"/>
        <v>0</v>
      </c>
      <c r="L119">
        <f t="shared" si="12"/>
        <v>0</v>
      </c>
      <c r="M119">
        <f t="shared" si="12"/>
        <v>0</v>
      </c>
      <c r="N119">
        <f t="shared" si="12"/>
        <v>0</v>
      </c>
      <c r="O119">
        <f t="shared" si="12"/>
        <v>0</v>
      </c>
      <c r="P119">
        <f t="shared" si="12"/>
        <v>0</v>
      </c>
      <c r="Q119">
        <f t="shared" si="9"/>
        <v>0</v>
      </c>
      <c r="R119">
        <f t="shared" si="10"/>
        <v>0</v>
      </c>
      <c r="S119">
        <v>3.9</v>
      </c>
      <c r="T119">
        <v>0</v>
      </c>
      <c r="U119">
        <v>0</v>
      </c>
      <c r="V119" s="5">
        <v>0</v>
      </c>
    </row>
    <row r="120" spans="1:22" x14ac:dyDescent="0.2">
      <c r="A120" t="s">
        <v>19</v>
      </c>
      <c r="B120" t="s">
        <v>39</v>
      </c>
      <c r="C120">
        <v>144</v>
      </c>
      <c r="D120">
        <v>133</v>
      </c>
      <c r="E120" s="1">
        <v>0.27700000000000002</v>
      </c>
      <c r="F120">
        <v>31</v>
      </c>
      <c r="G120" s="2">
        <v>760000</v>
      </c>
      <c r="H120" s="7">
        <f t="shared" si="8"/>
        <v>98</v>
      </c>
      <c r="I120" t="s">
        <v>47</v>
      </c>
      <c r="J120">
        <f t="shared" si="12"/>
        <v>0</v>
      </c>
      <c r="K120">
        <f t="shared" si="12"/>
        <v>1</v>
      </c>
      <c r="L120">
        <f t="shared" si="12"/>
        <v>0</v>
      </c>
      <c r="M120">
        <f t="shared" si="12"/>
        <v>0</v>
      </c>
      <c r="N120">
        <f t="shared" si="12"/>
        <v>0</v>
      </c>
      <c r="O120">
        <f t="shared" si="12"/>
        <v>0</v>
      </c>
      <c r="P120">
        <f t="shared" si="12"/>
        <v>0</v>
      </c>
      <c r="Q120">
        <f t="shared" si="9"/>
        <v>0</v>
      </c>
      <c r="R120">
        <f t="shared" si="10"/>
        <v>0</v>
      </c>
      <c r="S120">
        <v>3.3</v>
      </c>
      <c r="T120">
        <v>0</v>
      </c>
      <c r="U120">
        <v>1</v>
      </c>
      <c r="V120" s="5">
        <v>0</v>
      </c>
    </row>
    <row r="121" spans="1:22" x14ac:dyDescent="0.2">
      <c r="A121" t="s">
        <v>122</v>
      </c>
      <c r="B121" t="s">
        <v>28</v>
      </c>
      <c r="C121">
        <v>155</v>
      </c>
      <c r="D121">
        <v>180</v>
      </c>
      <c r="E121" s="1">
        <v>0.30299999999999999</v>
      </c>
      <c r="F121">
        <v>44</v>
      </c>
      <c r="G121" s="2">
        <v>70000000</v>
      </c>
      <c r="H121" s="7">
        <f t="shared" si="8"/>
        <v>1</v>
      </c>
      <c r="I121" t="s">
        <v>141</v>
      </c>
      <c r="J121">
        <f t="shared" si="12"/>
        <v>0</v>
      </c>
      <c r="K121">
        <f t="shared" si="12"/>
        <v>0</v>
      </c>
      <c r="L121">
        <f t="shared" si="12"/>
        <v>0</v>
      </c>
      <c r="M121">
        <f t="shared" si="12"/>
        <v>0</v>
      </c>
      <c r="N121">
        <f t="shared" si="12"/>
        <v>0</v>
      </c>
      <c r="O121">
        <f t="shared" si="12"/>
        <v>0</v>
      </c>
      <c r="P121">
        <f t="shared" si="12"/>
        <v>1</v>
      </c>
      <c r="Q121">
        <f t="shared" si="9"/>
        <v>0</v>
      </c>
      <c r="R121">
        <f t="shared" si="10"/>
        <v>0</v>
      </c>
      <c r="S121">
        <v>9.5</v>
      </c>
      <c r="T121">
        <v>0</v>
      </c>
      <c r="U121">
        <v>0</v>
      </c>
      <c r="V121" s="5">
        <v>0</v>
      </c>
    </row>
    <row r="122" spans="1:22" x14ac:dyDescent="0.2">
      <c r="A122" t="s">
        <v>56</v>
      </c>
      <c r="B122" t="s">
        <v>57</v>
      </c>
      <c r="C122">
        <v>149</v>
      </c>
      <c r="D122">
        <v>138</v>
      </c>
      <c r="E122" s="1">
        <v>0.246</v>
      </c>
      <c r="F122">
        <v>29</v>
      </c>
      <c r="G122" s="2">
        <v>760000</v>
      </c>
      <c r="H122" s="7">
        <f t="shared" si="8"/>
        <v>98</v>
      </c>
      <c r="I122" t="s">
        <v>76</v>
      </c>
      <c r="J122">
        <f t="shared" si="12"/>
        <v>0</v>
      </c>
      <c r="K122">
        <f t="shared" si="12"/>
        <v>0</v>
      </c>
      <c r="L122">
        <f t="shared" si="12"/>
        <v>1</v>
      </c>
      <c r="M122">
        <f t="shared" si="12"/>
        <v>0</v>
      </c>
      <c r="N122">
        <f t="shared" si="12"/>
        <v>0</v>
      </c>
      <c r="O122">
        <f t="shared" si="12"/>
        <v>0</v>
      </c>
      <c r="P122">
        <f t="shared" si="12"/>
        <v>0</v>
      </c>
      <c r="Q122">
        <f t="shared" si="9"/>
        <v>0</v>
      </c>
      <c r="R122">
        <f t="shared" si="10"/>
        <v>1</v>
      </c>
      <c r="S122">
        <v>2.5</v>
      </c>
      <c r="T122">
        <v>0</v>
      </c>
      <c r="U122">
        <v>1</v>
      </c>
      <c r="V122" s="5">
        <v>1</v>
      </c>
    </row>
    <row r="123" spans="1:22" x14ac:dyDescent="0.2">
      <c r="A123" t="s">
        <v>160</v>
      </c>
      <c r="B123" t="s">
        <v>43</v>
      </c>
      <c r="C123">
        <v>135</v>
      </c>
      <c r="D123">
        <v>132</v>
      </c>
      <c r="E123" s="1">
        <v>0.26500000000000001</v>
      </c>
      <c r="F123">
        <v>14</v>
      </c>
      <c r="G123" s="2">
        <v>19500000</v>
      </c>
      <c r="H123" s="7">
        <f t="shared" si="8"/>
        <v>31</v>
      </c>
      <c r="I123" t="s">
        <v>186</v>
      </c>
      <c r="J123">
        <f t="shared" si="12"/>
        <v>1</v>
      </c>
      <c r="K123">
        <f t="shared" si="12"/>
        <v>0</v>
      </c>
      <c r="L123">
        <f t="shared" si="12"/>
        <v>0</v>
      </c>
      <c r="M123">
        <f t="shared" si="12"/>
        <v>0</v>
      </c>
      <c r="N123">
        <f t="shared" si="12"/>
        <v>0</v>
      </c>
      <c r="O123">
        <f t="shared" si="12"/>
        <v>0</v>
      </c>
      <c r="P123">
        <f t="shared" si="12"/>
        <v>0</v>
      </c>
      <c r="Q123">
        <f t="shared" si="9"/>
        <v>0</v>
      </c>
      <c r="R123">
        <f t="shared" si="10"/>
        <v>0</v>
      </c>
      <c r="S123">
        <v>1.6</v>
      </c>
      <c r="T123">
        <v>0</v>
      </c>
      <c r="U123">
        <v>0</v>
      </c>
      <c r="V123" s="5">
        <v>0</v>
      </c>
    </row>
    <row r="124" spans="1:22" x14ac:dyDescent="0.2">
      <c r="A124" t="s">
        <v>178</v>
      </c>
      <c r="B124" t="s">
        <v>38</v>
      </c>
      <c r="C124">
        <v>153</v>
      </c>
      <c r="D124">
        <v>182</v>
      </c>
      <c r="E124" s="1">
        <v>0.30399999999999999</v>
      </c>
      <c r="F124">
        <v>11</v>
      </c>
      <c r="G124" s="2">
        <v>760000</v>
      </c>
      <c r="H124" s="7">
        <f t="shared" si="8"/>
        <v>98</v>
      </c>
      <c r="I124" t="s">
        <v>186</v>
      </c>
      <c r="J124">
        <f t="shared" si="12"/>
        <v>1</v>
      </c>
      <c r="K124">
        <f t="shared" si="12"/>
        <v>0</v>
      </c>
      <c r="L124">
        <f t="shared" si="12"/>
        <v>0</v>
      </c>
      <c r="M124">
        <f t="shared" si="12"/>
        <v>0</v>
      </c>
      <c r="N124">
        <f t="shared" si="12"/>
        <v>0</v>
      </c>
      <c r="O124">
        <f t="shared" si="12"/>
        <v>0</v>
      </c>
      <c r="P124">
        <f t="shared" si="12"/>
        <v>0</v>
      </c>
      <c r="Q124">
        <f t="shared" si="9"/>
        <v>0</v>
      </c>
      <c r="R124">
        <f t="shared" si="10"/>
        <v>0</v>
      </c>
      <c r="S124">
        <v>4.4000000000000004</v>
      </c>
      <c r="T124">
        <v>0</v>
      </c>
      <c r="U124">
        <v>0</v>
      </c>
      <c r="V124" s="5">
        <v>1</v>
      </c>
    </row>
    <row r="125" spans="1:22" x14ac:dyDescent="0.2">
      <c r="A125" t="s">
        <v>173</v>
      </c>
      <c r="B125" t="s">
        <v>96</v>
      </c>
      <c r="C125">
        <v>145</v>
      </c>
      <c r="D125">
        <v>142</v>
      </c>
      <c r="E125" s="1">
        <v>0.26400000000000001</v>
      </c>
      <c r="F125">
        <v>20</v>
      </c>
      <c r="G125" s="2">
        <v>4700000</v>
      </c>
      <c r="H125" s="7">
        <f t="shared" si="8"/>
        <v>90</v>
      </c>
      <c r="I125" t="s">
        <v>186</v>
      </c>
      <c r="J125">
        <f t="shared" si="12"/>
        <v>1</v>
      </c>
      <c r="K125">
        <f t="shared" si="12"/>
        <v>0</v>
      </c>
      <c r="L125">
        <f t="shared" si="12"/>
        <v>0</v>
      </c>
      <c r="M125">
        <f t="shared" si="12"/>
        <v>0</v>
      </c>
      <c r="N125">
        <f t="shared" si="12"/>
        <v>0</v>
      </c>
      <c r="O125">
        <f t="shared" si="12"/>
        <v>0</v>
      </c>
      <c r="P125">
        <f t="shared" si="12"/>
        <v>0</v>
      </c>
      <c r="Q125">
        <f t="shared" si="9"/>
        <v>0</v>
      </c>
      <c r="R125">
        <f t="shared" si="10"/>
        <v>0</v>
      </c>
      <c r="S125">
        <v>2.5</v>
      </c>
      <c r="T125">
        <v>0</v>
      </c>
      <c r="U125">
        <v>0</v>
      </c>
      <c r="V125" s="5">
        <v>0</v>
      </c>
    </row>
    <row r="126" spans="1:22" x14ac:dyDescent="0.2">
      <c r="A126" t="s">
        <v>162</v>
      </c>
      <c r="B126" t="s">
        <v>28</v>
      </c>
      <c r="C126">
        <v>146</v>
      </c>
      <c r="D126">
        <v>148</v>
      </c>
      <c r="E126" s="1">
        <v>0.26400000000000001</v>
      </c>
      <c r="F126">
        <v>28</v>
      </c>
      <c r="G126" s="2">
        <v>14000000</v>
      </c>
      <c r="H126" s="7">
        <f t="shared" si="8"/>
        <v>44</v>
      </c>
      <c r="I126" t="s">
        <v>186</v>
      </c>
      <c r="J126">
        <f t="shared" si="12"/>
        <v>1</v>
      </c>
      <c r="K126">
        <f t="shared" si="12"/>
        <v>0</v>
      </c>
      <c r="L126">
        <f t="shared" si="12"/>
        <v>0</v>
      </c>
      <c r="M126">
        <f t="shared" si="12"/>
        <v>0</v>
      </c>
      <c r="N126">
        <f t="shared" si="12"/>
        <v>0</v>
      </c>
      <c r="O126">
        <f t="shared" si="12"/>
        <v>0</v>
      </c>
      <c r="P126">
        <f t="shared" si="12"/>
        <v>0</v>
      </c>
      <c r="Q126">
        <f t="shared" si="9"/>
        <v>0</v>
      </c>
      <c r="R126">
        <f t="shared" si="10"/>
        <v>0</v>
      </c>
      <c r="S126">
        <v>3.5</v>
      </c>
      <c r="T126">
        <v>0</v>
      </c>
      <c r="U126">
        <v>0</v>
      </c>
      <c r="V126" s="5">
        <v>0</v>
      </c>
    </row>
    <row r="127" spans="1:22" x14ac:dyDescent="0.2">
      <c r="A127" t="s">
        <v>114</v>
      </c>
      <c r="B127" t="s">
        <v>60</v>
      </c>
      <c r="C127">
        <v>134</v>
      </c>
      <c r="D127">
        <v>138</v>
      </c>
      <c r="E127" s="1">
        <v>0.27100000000000002</v>
      </c>
      <c r="F127">
        <v>9</v>
      </c>
      <c r="G127" s="2">
        <v>12000000</v>
      </c>
      <c r="H127" s="7">
        <f t="shared" si="8"/>
        <v>50</v>
      </c>
      <c r="I127" t="s">
        <v>121</v>
      </c>
      <c r="J127">
        <f t="shared" si="12"/>
        <v>0</v>
      </c>
      <c r="K127">
        <f t="shared" si="12"/>
        <v>0</v>
      </c>
      <c r="L127">
        <f t="shared" si="12"/>
        <v>0</v>
      </c>
      <c r="M127">
        <f t="shared" si="12"/>
        <v>0</v>
      </c>
      <c r="N127">
        <f t="shared" si="12"/>
        <v>0</v>
      </c>
      <c r="O127">
        <f t="shared" si="12"/>
        <v>1</v>
      </c>
      <c r="P127">
        <f t="shared" si="12"/>
        <v>0</v>
      </c>
      <c r="Q127">
        <f t="shared" si="9"/>
        <v>1</v>
      </c>
      <c r="R127">
        <f t="shared" si="10"/>
        <v>0</v>
      </c>
      <c r="S127">
        <v>1.2</v>
      </c>
      <c r="T127">
        <v>0</v>
      </c>
      <c r="U127">
        <v>0</v>
      </c>
      <c r="V127" s="5">
        <v>0</v>
      </c>
    </row>
    <row r="128" spans="1:22" x14ac:dyDescent="0.2">
      <c r="A128" t="s">
        <v>104</v>
      </c>
      <c r="B128" t="s">
        <v>27</v>
      </c>
      <c r="C128">
        <v>152</v>
      </c>
      <c r="D128">
        <v>178</v>
      </c>
      <c r="E128" s="1">
        <v>0.29299999999999998</v>
      </c>
      <c r="F128">
        <v>27</v>
      </c>
      <c r="G128" s="2">
        <v>30000000</v>
      </c>
      <c r="H128" s="7">
        <f t="shared" si="8"/>
        <v>10</v>
      </c>
      <c r="I128" t="s">
        <v>121</v>
      </c>
      <c r="J128">
        <f t="shared" si="12"/>
        <v>0</v>
      </c>
      <c r="K128">
        <f t="shared" si="12"/>
        <v>0</v>
      </c>
      <c r="L128">
        <f t="shared" si="12"/>
        <v>0</v>
      </c>
      <c r="M128">
        <f t="shared" si="12"/>
        <v>0</v>
      </c>
      <c r="N128">
        <f t="shared" si="12"/>
        <v>0</v>
      </c>
      <c r="O128">
        <f t="shared" si="12"/>
        <v>1</v>
      </c>
      <c r="P128">
        <f t="shared" si="12"/>
        <v>0</v>
      </c>
      <c r="Q128">
        <f t="shared" si="9"/>
        <v>1</v>
      </c>
      <c r="R128">
        <f t="shared" si="10"/>
        <v>0</v>
      </c>
      <c r="S128">
        <v>5</v>
      </c>
      <c r="T128">
        <v>0</v>
      </c>
      <c r="U128">
        <v>1</v>
      </c>
      <c r="V128" s="5">
        <v>0</v>
      </c>
    </row>
    <row r="129" spans="1:22" x14ac:dyDescent="0.2">
      <c r="A129" t="s">
        <v>176</v>
      </c>
      <c r="B129" t="s">
        <v>89</v>
      </c>
      <c r="C129">
        <v>138</v>
      </c>
      <c r="D129">
        <v>130</v>
      </c>
      <c r="E129" s="1">
        <v>0.255</v>
      </c>
      <c r="F129">
        <v>15</v>
      </c>
      <c r="G129" s="2">
        <v>4800000</v>
      </c>
      <c r="H129" s="7">
        <f t="shared" si="8"/>
        <v>87</v>
      </c>
      <c r="I129" t="s">
        <v>186</v>
      </c>
      <c r="J129">
        <f t="shared" si="12"/>
        <v>1</v>
      </c>
      <c r="K129">
        <f t="shared" si="12"/>
        <v>0</v>
      </c>
      <c r="L129">
        <f t="shared" si="12"/>
        <v>0</v>
      </c>
      <c r="M129">
        <f t="shared" si="12"/>
        <v>0</v>
      </c>
      <c r="N129">
        <f t="shared" si="12"/>
        <v>0</v>
      </c>
      <c r="O129">
        <f t="shared" si="12"/>
        <v>0</v>
      </c>
      <c r="P129">
        <f t="shared" si="12"/>
        <v>0</v>
      </c>
      <c r="Q129">
        <f t="shared" si="9"/>
        <v>0</v>
      </c>
      <c r="R129">
        <f t="shared" si="10"/>
        <v>0</v>
      </c>
      <c r="S129">
        <v>1.6</v>
      </c>
      <c r="T129">
        <v>0</v>
      </c>
      <c r="U129">
        <v>0</v>
      </c>
      <c r="V129" s="5">
        <v>0</v>
      </c>
    </row>
    <row r="130" spans="1:22" x14ac:dyDescent="0.2">
      <c r="A130" t="s">
        <v>116</v>
      </c>
      <c r="B130" t="s">
        <v>63</v>
      </c>
      <c r="C130">
        <v>120</v>
      </c>
      <c r="D130">
        <v>118</v>
      </c>
      <c r="E130" s="1">
        <v>0.246</v>
      </c>
      <c r="F130">
        <v>13</v>
      </c>
      <c r="G130" s="2">
        <v>23000000</v>
      </c>
      <c r="H130" s="7">
        <f t="shared" si="8"/>
        <v>23</v>
      </c>
      <c r="I130" t="s">
        <v>121</v>
      </c>
      <c r="J130">
        <f t="shared" si="12"/>
        <v>0</v>
      </c>
      <c r="K130">
        <f t="shared" si="12"/>
        <v>0</v>
      </c>
      <c r="L130">
        <f t="shared" si="12"/>
        <v>0</v>
      </c>
      <c r="M130">
        <f t="shared" si="12"/>
        <v>0</v>
      </c>
      <c r="N130">
        <f t="shared" si="12"/>
        <v>0</v>
      </c>
      <c r="O130">
        <f t="shared" si="12"/>
        <v>1</v>
      </c>
      <c r="P130">
        <f t="shared" si="12"/>
        <v>0</v>
      </c>
      <c r="Q130">
        <f t="shared" si="9"/>
        <v>1</v>
      </c>
      <c r="R130">
        <f t="shared" si="10"/>
        <v>0</v>
      </c>
      <c r="S130">
        <v>2</v>
      </c>
      <c r="T130">
        <v>0</v>
      </c>
      <c r="U130">
        <v>0</v>
      </c>
      <c r="V130" s="5">
        <v>0</v>
      </c>
    </row>
    <row r="131" spans="1:22" x14ac:dyDescent="0.2">
      <c r="A131" t="s">
        <v>62</v>
      </c>
      <c r="B131" t="s">
        <v>63</v>
      </c>
      <c r="C131">
        <v>136</v>
      </c>
      <c r="D131">
        <v>129</v>
      </c>
      <c r="E131" s="1">
        <v>0.26100000000000001</v>
      </c>
      <c r="F131">
        <v>25</v>
      </c>
      <c r="G131" s="2">
        <v>760000</v>
      </c>
      <c r="H131" s="7">
        <f t="shared" ref="H131:H141" si="13">_xlfn.RANK.EQ(G131,$G$2:$G$141,0)</f>
        <v>98</v>
      </c>
      <c r="I131" t="s">
        <v>76</v>
      </c>
      <c r="J131">
        <f t="shared" si="12"/>
        <v>0</v>
      </c>
      <c r="K131">
        <f t="shared" si="12"/>
        <v>0</v>
      </c>
      <c r="L131">
        <f t="shared" si="12"/>
        <v>1</v>
      </c>
      <c r="M131">
        <f t="shared" si="12"/>
        <v>0</v>
      </c>
      <c r="N131">
        <f t="shared" si="12"/>
        <v>0</v>
      </c>
      <c r="O131">
        <f t="shared" si="12"/>
        <v>0</v>
      </c>
      <c r="P131">
        <f t="shared" si="12"/>
        <v>0</v>
      </c>
      <c r="Q131">
        <f t="shared" ref="Q131:Q141" si="14">IF(OR(I131=O$1,I131=M$1),1,0)</f>
        <v>0</v>
      </c>
      <c r="R131">
        <f t="shared" ref="R131:R141" si="15">IF(OR(I131=N$1,I131=L$1),1,0)</f>
        <v>1</v>
      </c>
      <c r="S131">
        <v>2.8</v>
      </c>
      <c r="T131">
        <v>0</v>
      </c>
      <c r="U131">
        <v>1</v>
      </c>
      <c r="V131" s="5">
        <v>1</v>
      </c>
    </row>
    <row r="132" spans="1:22" x14ac:dyDescent="0.2">
      <c r="A132" t="s">
        <v>71</v>
      </c>
      <c r="B132" t="s">
        <v>30</v>
      </c>
      <c r="C132">
        <v>142</v>
      </c>
      <c r="D132">
        <v>136</v>
      </c>
      <c r="E132" s="1">
        <v>0.26200000000000001</v>
      </c>
      <c r="F132">
        <v>16</v>
      </c>
      <c r="G132" s="2">
        <v>760000</v>
      </c>
      <c r="H132" s="7">
        <f t="shared" si="13"/>
        <v>98</v>
      </c>
      <c r="I132" t="s">
        <v>76</v>
      </c>
      <c r="J132">
        <f t="shared" si="12"/>
        <v>0</v>
      </c>
      <c r="K132">
        <f t="shared" si="12"/>
        <v>0</v>
      </c>
      <c r="L132">
        <f t="shared" si="12"/>
        <v>1</v>
      </c>
      <c r="M132">
        <f t="shared" si="12"/>
        <v>0</v>
      </c>
      <c r="N132">
        <f t="shared" si="12"/>
        <v>0</v>
      </c>
      <c r="O132">
        <f t="shared" si="12"/>
        <v>0</v>
      </c>
      <c r="P132">
        <f t="shared" si="12"/>
        <v>0</v>
      </c>
      <c r="Q132">
        <f t="shared" si="14"/>
        <v>0</v>
      </c>
      <c r="R132">
        <f t="shared" si="15"/>
        <v>1</v>
      </c>
      <c r="S132">
        <v>1.9</v>
      </c>
      <c r="T132">
        <v>0</v>
      </c>
      <c r="U132">
        <v>0</v>
      </c>
      <c r="V132" s="5">
        <v>0</v>
      </c>
    </row>
    <row r="133" spans="1:22" x14ac:dyDescent="0.2">
      <c r="A133" t="s">
        <v>22</v>
      </c>
      <c r="B133" t="s">
        <v>42</v>
      </c>
      <c r="C133">
        <v>142</v>
      </c>
      <c r="D133">
        <v>132</v>
      </c>
      <c r="E133" s="1">
        <v>0.26400000000000001</v>
      </c>
      <c r="F133">
        <v>12</v>
      </c>
      <c r="G133" s="2">
        <v>760000</v>
      </c>
      <c r="H133" s="7">
        <f t="shared" si="13"/>
        <v>98</v>
      </c>
      <c r="I133" t="s">
        <v>47</v>
      </c>
      <c r="J133">
        <f t="shared" si="12"/>
        <v>0</v>
      </c>
      <c r="K133">
        <f t="shared" si="12"/>
        <v>1</v>
      </c>
      <c r="L133">
        <f t="shared" si="12"/>
        <v>0</v>
      </c>
      <c r="M133">
        <f t="shared" si="12"/>
        <v>0</v>
      </c>
      <c r="N133">
        <f t="shared" si="12"/>
        <v>0</v>
      </c>
      <c r="O133">
        <f t="shared" si="12"/>
        <v>0</v>
      </c>
      <c r="P133">
        <f t="shared" si="12"/>
        <v>0</v>
      </c>
      <c r="Q133">
        <f t="shared" si="14"/>
        <v>0</v>
      </c>
      <c r="R133">
        <f t="shared" si="15"/>
        <v>0</v>
      </c>
      <c r="S133">
        <v>1.9</v>
      </c>
      <c r="T133">
        <v>0</v>
      </c>
      <c r="U133">
        <v>1</v>
      </c>
      <c r="V133" s="5">
        <v>0</v>
      </c>
    </row>
    <row r="134" spans="1:22" x14ac:dyDescent="0.2">
      <c r="A134" t="s">
        <v>49</v>
      </c>
      <c r="B134" t="s">
        <v>37</v>
      </c>
      <c r="C134">
        <v>153</v>
      </c>
      <c r="D134">
        <v>165</v>
      </c>
      <c r="E134" s="1">
        <v>0.28100000000000003</v>
      </c>
      <c r="F134">
        <v>33</v>
      </c>
      <c r="G134" s="2">
        <v>19250000</v>
      </c>
      <c r="H134" s="7">
        <f t="shared" si="13"/>
        <v>33</v>
      </c>
      <c r="I134" t="s">
        <v>76</v>
      </c>
      <c r="J134">
        <f t="shared" si="12"/>
        <v>0</v>
      </c>
      <c r="K134">
        <f t="shared" si="12"/>
        <v>0</v>
      </c>
      <c r="L134">
        <f t="shared" si="12"/>
        <v>1</v>
      </c>
      <c r="M134">
        <f t="shared" si="12"/>
        <v>0</v>
      </c>
      <c r="N134">
        <f t="shared" si="12"/>
        <v>0</v>
      </c>
      <c r="O134">
        <f t="shared" si="12"/>
        <v>0</v>
      </c>
      <c r="P134">
        <f t="shared" si="12"/>
        <v>0</v>
      </c>
      <c r="Q134">
        <f t="shared" si="14"/>
        <v>0</v>
      </c>
      <c r="R134">
        <f t="shared" si="15"/>
        <v>1</v>
      </c>
      <c r="S134">
        <v>3.8</v>
      </c>
      <c r="T134">
        <v>1</v>
      </c>
      <c r="U134">
        <v>0</v>
      </c>
      <c r="V134" s="5">
        <v>0</v>
      </c>
    </row>
    <row r="135" spans="1:22" x14ac:dyDescent="0.2">
      <c r="A135" t="s">
        <v>92</v>
      </c>
      <c r="B135" t="s">
        <v>27</v>
      </c>
      <c r="C135">
        <v>136</v>
      </c>
      <c r="D135">
        <v>128</v>
      </c>
      <c r="E135" s="1">
        <v>0.252</v>
      </c>
      <c r="F135">
        <v>10</v>
      </c>
      <c r="G135" s="2">
        <v>8000000</v>
      </c>
      <c r="H135" s="7">
        <f t="shared" si="13"/>
        <v>73</v>
      </c>
      <c r="I135" t="s">
        <v>100</v>
      </c>
      <c r="J135">
        <f t="shared" si="12"/>
        <v>0</v>
      </c>
      <c r="K135">
        <f t="shared" si="12"/>
        <v>0</v>
      </c>
      <c r="L135">
        <f t="shared" si="12"/>
        <v>0</v>
      </c>
      <c r="M135">
        <f t="shared" si="12"/>
        <v>1</v>
      </c>
      <c r="N135">
        <f t="shared" si="12"/>
        <v>0</v>
      </c>
      <c r="O135">
        <f t="shared" si="12"/>
        <v>0</v>
      </c>
      <c r="P135">
        <f t="shared" si="12"/>
        <v>0</v>
      </c>
      <c r="Q135">
        <f t="shared" si="14"/>
        <v>1</v>
      </c>
      <c r="R135">
        <f t="shared" si="15"/>
        <v>0</v>
      </c>
      <c r="S135">
        <v>1.8</v>
      </c>
      <c r="T135">
        <v>0</v>
      </c>
      <c r="U135">
        <v>0</v>
      </c>
      <c r="V135" s="5">
        <v>0</v>
      </c>
    </row>
    <row r="136" spans="1:22" x14ac:dyDescent="0.2">
      <c r="A136" t="s">
        <v>8</v>
      </c>
      <c r="B136" t="s">
        <v>28</v>
      </c>
      <c r="C136">
        <v>140</v>
      </c>
      <c r="D136">
        <v>158</v>
      </c>
      <c r="E136" s="1">
        <v>0.29599999999999999</v>
      </c>
      <c r="F136">
        <v>17</v>
      </c>
      <c r="G136" s="2">
        <v>12927716</v>
      </c>
      <c r="H136" s="7">
        <f t="shared" si="13"/>
        <v>48</v>
      </c>
      <c r="I136" t="s">
        <v>47</v>
      </c>
      <c r="J136">
        <f t="shared" si="12"/>
        <v>0</v>
      </c>
      <c r="K136">
        <f t="shared" si="12"/>
        <v>1</v>
      </c>
      <c r="L136">
        <f t="shared" si="12"/>
        <v>0</v>
      </c>
      <c r="M136">
        <f t="shared" si="12"/>
        <v>0</v>
      </c>
      <c r="N136">
        <f t="shared" si="12"/>
        <v>0</v>
      </c>
      <c r="O136">
        <f t="shared" si="12"/>
        <v>0</v>
      </c>
      <c r="P136">
        <f t="shared" si="12"/>
        <v>0</v>
      </c>
      <c r="Q136">
        <f t="shared" si="14"/>
        <v>0</v>
      </c>
      <c r="R136">
        <f t="shared" si="15"/>
        <v>0</v>
      </c>
      <c r="S136">
        <v>4.8</v>
      </c>
      <c r="T136">
        <v>0</v>
      </c>
      <c r="U136">
        <v>1</v>
      </c>
      <c r="V136" s="5">
        <v>0</v>
      </c>
    </row>
    <row r="137" spans="1:22" x14ac:dyDescent="0.2">
      <c r="A137" t="s">
        <v>12</v>
      </c>
      <c r="B137" t="s">
        <v>32</v>
      </c>
      <c r="C137">
        <v>151</v>
      </c>
      <c r="D137">
        <v>160</v>
      </c>
      <c r="E137" s="1">
        <v>0.28799999999999998</v>
      </c>
      <c r="F137">
        <v>17</v>
      </c>
      <c r="G137" s="2">
        <v>760000</v>
      </c>
      <c r="H137" s="7">
        <f t="shared" si="13"/>
        <v>98</v>
      </c>
      <c r="I137" t="s">
        <v>47</v>
      </c>
      <c r="J137">
        <f t="shared" si="12"/>
        <v>0</v>
      </c>
      <c r="K137">
        <f t="shared" si="12"/>
        <v>1</v>
      </c>
      <c r="L137">
        <f t="shared" si="12"/>
        <v>0</v>
      </c>
      <c r="M137">
        <f t="shared" si="12"/>
        <v>0</v>
      </c>
      <c r="N137">
        <f t="shared" si="12"/>
        <v>0</v>
      </c>
      <c r="O137">
        <f t="shared" si="12"/>
        <v>0</v>
      </c>
      <c r="P137">
        <f t="shared" si="12"/>
        <v>0</v>
      </c>
      <c r="Q137">
        <f t="shared" si="14"/>
        <v>0</v>
      </c>
      <c r="R137">
        <f t="shared" si="15"/>
        <v>0</v>
      </c>
      <c r="S137">
        <v>4.7</v>
      </c>
      <c r="T137">
        <v>0</v>
      </c>
      <c r="U137">
        <v>0</v>
      </c>
      <c r="V137" s="5">
        <v>1</v>
      </c>
    </row>
    <row r="138" spans="1:22" x14ac:dyDescent="0.2">
      <c r="A138" t="s">
        <v>107</v>
      </c>
      <c r="B138" t="s">
        <v>32</v>
      </c>
      <c r="C138">
        <v>152</v>
      </c>
      <c r="D138">
        <v>147</v>
      </c>
      <c r="E138" s="1">
        <v>0.254</v>
      </c>
      <c r="F138">
        <v>24</v>
      </c>
      <c r="G138" s="2">
        <v>8750000</v>
      </c>
      <c r="H138" s="7">
        <f t="shared" si="13"/>
        <v>69</v>
      </c>
      <c r="I138" t="s">
        <v>121</v>
      </c>
      <c r="J138">
        <f t="shared" si="12"/>
        <v>0</v>
      </c>
      <c r="K138">
        <f t="shared" si="12"/>
        <v>0</v>
      </c>
      <c r="L138">
        <f t="shared" si="12"/>
        <v>0</v>
      </c>
      <c r="M138">
        <f t="shared" si="12"/>
        <v>0</v>
      </c>
      <c r="N138">
        <f t="shared" si="12"/>
        <v>0</v>
      </c>
      <c r="O138">
        <f t="shared" si="12"/>
        <v>1</v>
      </c>
      <c r="P138">
        <f t="shared" si="12"/>
        <v>0</v>
      </c>
      <c r="Q138">
        <f t="shared" si="14"/>
        <v>1</v>
      </c>
      <c r="R138">
        <f t="shared" si="15"/>
        <v>0</v>
      </c>
      <c r="S138">
        <v>3.8</v>
      </c>
      <c r="T138">
        <v>0</v>
      </c>
      <c r="U138">
        <v>0</v>
      </c>
      <c r="V138" s="5">
        <v>0</v>
      </c>
    </row>
    <row r="139" spans="1:22" x14ac:dyDescent="0.2">
      <c r="A139" t="s">
        <v>109</v>
      </c>
      <c r="B139" t="s">
        <v>89</v>
      </c>
      <c r="C139">
        <v>150</v>
      </c>
      <c r="D139">
        <v>172</v>
      </c>
      <c r="E139" s="1">
        <v>0.28399999999999997</v>
      </c>
      <c r="F139">
        <v>21</v>
      </c>
      <c r="G139" s="2">
        <v>25000000</v>
      </c>
      <c r="H139" s="7">
        <f t="shared" si="13"/>
        <v>17</v>
      </c>
      <c r="I139" t="s">
        <v>121</v>
      </c>
      <c r="J139">
        <f t="shared" si="12"/>
        <v>0</v>
      </c>
      <c r="K139">
        <f t="shared" si="12"/>
        <v>0</v>
      </c>
      <c r="L139">
        <f t="shared" si="12"/>
        <v>0</v>
      </c>
      <c r="M139">
        <f t="shared" si="12"/>
        <v>0</v>
      </c>
      <c r="N139">
        <f t="shared" si="12"/>
        <v>0</v>
      </c>
      <c r="O139">
        <f t="shared" si="12"/>
        <v>1</v>
      </c>
      <c r="P139">
        <f t="shared" si="12"/>
        <v>0</v>
      </c>
      <c r="Q139">
        <f t="shared" si="14"/>
        <v>1</v>
      </c>
      <c r="R139">
        <f t="shared" si="15"/>
        <v>0</v>
      </c>
      <c r="S139">
        <v>4.0999999999999996</v>
      </c>
      <c r="T139">
        <v>0</v>
      </c>
      <c r="U139">
        <v>0</v>
      </c>
      <c r="V139" s="5">
        <v>0</v>
      </c>
    </row>
    <row r="140" spans="1:22" x14ac:dyDescent="0.2">
      <c r="A140" t="s">
        <v>16</v>
      </c>
      <c r="B140" t="s">
        <v>36</v>
      </c>
      <c r="C140">
        <v>145</v>
      </c>
      <c r="D140">
        <v>140</v>
      </c>
      <c r="E140" s="1">
        <v>0.25600000000000001</v>
      </c>
      <c r="F140">
        <v>20</v>
      </c>
      <c r="G140" s="2">
        <v>760000</v>
      </c>
      <c r="H140" s="7">
        <f t="shared" si="13"/>
        <v>98</v>
      </c>
      <c r="I140" t="s">
        <v>47</v>
      </c>
      <c r="J140">
        <f t="shared" si="12"/>
        <v>0</v>
      </c>
      <c r="K140">
        <f t="shared" si="12"/>
        <v>1</v>
      </c>
      <c r="L140">
        <f t="shared" si="12"/>
        <v>0</v>
      </c>
      <c r="M140">
        <f t="shared" si="12"/>
        <v>0</v>
      </c>
      <c r="N140">
        <f t="shared" si="12"/>
        <v>0</v>
      </c>
      <c r="O140">
        <f t="shared" si="12"/>
        <v>0</v>
      </c>
      <c r="P140">
        <f t="shared" si="12"/>
        <v>0</v>
      </c>
      <c r="Q140">
        <f t="shared" si="14"/>
        <v>0</v>
      </c>
      <c r="R140">
        <f t="shared" si="15"/>
        <v>0</v>
      </c>
      <c r="S140">
        <v>2.9</v>
      </c>
      <c r="T140">
        <v>0</v>
      </c>
      <c r="U140">
        <v>0</v>
      </c>
      <c r="V140" s="5">
        <v>0</v>
      </c>
    </row>
    <row r="141" spans="1:22" x14ac:dyDescent="0.2">
      <c r="A141" t="s">
        <v>124</v>
      </c>
      <c r="B141" t="s">
        <v>36</v>
      </c>
      <c r="C141">
        <v>148</v>
      </c>
      <c r="D141">
        <v>165</v>
      </c>
      <c r="E141" s="1">
        <v>0.28899999999999998</v>
      </c>
      <c r="F141">
        <v>39</v>
      </c>
      <c r="G141" s="2">
        <v>19500000</v>
      </c>
      <c r="H141" s="7">
        <f t="shared" si="13"/>
        <v>31</v>
      </c>
      <c r="I141" t="s">
        <v>186</v>
      </c>
      <c r="J141">
        <f t="shared" si="12"/>
        <v>1</v>
      </c>
      <c r="K141">
        <f t="shared" si="12"/>
        <v>0</v>
      </c>
      <c r="L141">
        <f t="shared" si="12"/>
        <v>0</v>
      </c>
      <c r="M141">
        <f t="shared" si="12"/>
        <v>0</v>
      </c>
      <c r="N141">
        <f t="shared" si="12"/>
        <v>0</v>
      </c>
      <c r="O141">
        <f t="shared" si="12"/>
        <v>0</v>
      </c>
      <c r="P141">
        <f t="shared" si="12"/>
        <v>0</v>
      </c>
      <c r="Q141">
        <f t="shared" si="14"/>
        <v>0</v>
      </c>
      <c r="R141">
        <f t="shared" si="15"/>
        <v>0</v>
      </c>
      <c r="S141">
        <v>5.0999999999999996</v>
      </c>
      <c r="T141">
        <v>0</v>
      </c>
      <c r="U141">
        <v>0</v>
      </c>
      <c r="V141" s="5">
        <v>0</v>
      </c>
    </row>
  </sheetData>
  <conditionalFormatting sqref="A2:A141">
    <cfRule type="expression" dxfId="9" priority="1">
      <formula>V2=1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55A8-E678-4241-AD79-5B3D914D2C59}">
  <dimension ref="A1:AI146"/>
  <sheetViews>
    <sheetView tabSelected="1" topLeftCell="Q1" zoomScale="117" workbookViewId="0">
      <selection activeCell="B12" sqref="B12"/>
    </sheetView>
  </sheetViews>
  <sheetFormatPr baseColWidth="10" defaultColWidth="8.83203125" defaultRowHeight="15" x14ac:dyDescent="0.2"/>
  <cols>
    <col min="1" max="1" width="20" customWidth="1"/>
    <col min="5" max="5" width="13.6640625" customWidth="1"/>
    <col min="7" max="8" width="17.1640625" customWidth="1"/>
    <col min="9" max="9" width="18.5" customWidth="1"/>
    <col min="10" max="18" width="15.1640625" customWidth="1"/>
    <col min="24" max="24" width="25.83203125" bestFit="1" customWidth="1"/>
    <col min="25" max="25" width="10.1640625" bestFit="1" customWidth="1"/>
    <col min="33" max="33" width="14.33203125" bestFit="1" customWidth="1"/>
    <col min="34" max="34" width="13.1640625" bestFit="1" customWidth="1"/>
    <col min="35" max="35" width="13" bestFit="1" customWidth="1"/>
  </cols>
  <sheetData>
    <row r="1" spans="1:35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196</v>
      </c>
      <c r="I1" s="3" t="s">
        <v>190</v>
      </c>
      <c r="J1" t="s">
        <v>186</v>
      </c>
      <c r="K1" t="s">
        <v>47</v>
      </c>
      <c r="L1" t="s">
        <v>76</v>
      </c>
      <c r="M1" t="s">
        <v>100</v>
      </c>
      <c r="N1" t="s">
        <v>187</v>
      </c>
      <c r="O1" t="s">
        <v>121</v>
      </c>
      <c r="P1" t="s">
        <v>141</v>
      </c>
      <c r="Q1" t="s">
        <v>199</v>
      </c>
      <c r="R1" t="s">
        <v>200</v>
      </c>
      <c r="S1" s="4" t="s">
        <v>74</v>
      </c>
      <c r="T1" s="4" t="s">
        <v>188</v>
      </c>
      <c r="U1" s="4" t="s">
        <v>189</v>
      </c>
      <c r="V1" s="4" t="s">
        <v>193</v>
      </c>
    </row>
    <row r="2" spans="1:35" x14ac:dyDescent="0.2">
      <c r="A2" t="s">
        <v>142</v>
      </c>
      <c r="B2" t="s">
        <v>65</v>
      </c>
      <c r="C2">
        <v>152</v>
      </c>
      <c r="D2">
        <v>137</v>
      </c>
      <c r="E2" s="1">
        <v>0.33100000000000002</v>
      </c>
      <c r="F2">
        <v>53</v>
      </c>
      <c r="G2" s="2">
        <v>40000000</v>
      </c>
      <c r="H2" s="7">
        <f>_xlfn.RANK.EQ(G2,$G$2:$G$141,0)</f>
        <v>2</v>
      </c>
      <c r="I2" t="s">
        <v>186</v>
      </c>
      <c r="J2">
        <f>IF($I2=J$1,1,0)</f>
        <v>1</v>
      </c>
      <c r="K2">
        <f t="shared" ref="K2:P17" si="0">IF($I2=K$1,1,0)</f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>IF($I2=P$1,1,0)</f>
        <v>0</v>
      </c>
      <c r="Q2">
        <f>IF(OR(I2=O$1,I2=M$1),1,0)</f>
        <v>0</v>
      </c>
      <c r="R2">
        <f>IF(OR(I2=N$1,I2=L$1),1,0)</f>
        <v>0</v>
      </c>
      <c r="S2">
        <v>9.1999999999999993</v>
      </c>
      <c r="T2">
        <v>0</v>
      </c>
      <c r="U2">
        <v>1</v>
      </c>
      <c r="V2" s="5">
        <v>1</v>
      </c>
      <c r="AA2" t="s">
        <v>186</v>
      </c>
      <c r="AB2" t="s">
        <v>47</v>
      </c>
      <c r="AC2" t="s">
        <v>76</v>
      </c>
      <c r="AD2" t="s">
        <v>100</v>
      </c>
      <c r="AE2" t="s">
        <v>187</v>
      </c>
      <c r="AF2" t="s">
        <v>121</v>
      </c>
      <c r="AG2" t="s">
        <v>141</v>
      </c>
      <c r="AH2" t="s">
        <v>199</v>
      </c>
      <c r="AI2" t="s">
        <v>200</v>
      </c>
    </row>
    <row r="3" spans="1:35" x14ac:dyDescent="0.2">
      <c r="A3" t="s">
        <v>11</v>
      </c>
      <c r="B3" t="s">
        <v>31</v>
      </c>
      <c r="C3">
        <v>148</v>
      </c>
      <c r="D3">
        <v>135</v>
      </c>
      <c r="E3" s="1">
        <v>0.27</v>
      </c>
      <c r="F3">
        <v>22</v>
      </c>
      <c r="G3" s="2">
        <v>760000</v>
      </c>
      <c r="H3" s="7">
        <f t="shared" ref="H3:H66" si="1">_xlfn.RANK.EQ(G3,$G$2:$G$141,0)</f>
        <v>98</v>
      </c>
      <c r="I3" t="s">
        <v>47</v>
      </c>
      <c r="J3">
        <f t="shared" ref="J3:P52" si="2">IF($I3=J$1,1,0)</f>
        <v>0</v>
      </c>
      <c r="K3">
        <f t="shared" si="0"/>
        <v>1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ref="Q3:Q66" si="3">IF(OR(I3=O$1,I3=M$1),1,0)</f>
        <v>0</v>
      </c>
      <c r="R3">
        <f t="shared" ref="R3:R66" si="4">IF(OR(I3=N$1,I3=L$1),1,0)</f>
        <v>0</v>
      </c>
      <c r="S3">
        <v>6</v>
      </c>
      <c r="T3">
        <v>0</v>
      </c>
      <c r="U3">
        <v>1</v>
      </c>
      <c r="V3" s="5">
        <v>1</v>
      </c>
      <c r="X3" t="s">
        <v>201</v>
      </c>
      <c r="Y3">
        <f>SUM(V2:V141)</f>
        <v>15</v>
      </c>
      <c r="AA3">
        <f>SUMPRODUCT($V$2:$V$141,J2:J141)</f>
        <v>7</v>
      </c>
      <c r="AB3">
        <f t="shared" ref="AB3:AI3" si="5">SUMPRODUCT($V$2:$V$141,K2:K141)</f>
        <v>2</v>
      </c>
      <c r="AC3">
        <f t="shared" si="5"/>
        <v>2</v>
      </c>
      <c r="AD3">
        <f t="shared" si="5"/>
        <v>1</v>
      </c>
      <c r="AE3">
        <f t="shared" si="5"/>
        <v>1</v>
      </c>
      <c r="AF3">
        <f t="shared" si="5"/>
        <v>2</v>
      </c>
      <c r="AG3">
        <f t="shared" si="5"/>
        <v>0</v>
      </c>
      <c r="AH3">
        <f t="shared" si="5"/>
        <v>3</v>
      </c>
      <c r="AI3">
        <f t="shared" si="5"/>
        <v>3</v>
      </c>
    </row>
    <row r="4" spans="1:35" x14ac:dyDescent="0.2">
      <c r="A4" t="s">
        <v>151</v>
      </c>
      <c r="B4" t="s">
        <v>34</v>
      </c>
      <c r="C4">
        <v>152</v>
      </c>
      <c r="D4">
        <v>150</v>
      </c>
      <c r="E4" s="1">
        <v>0.27300000000000002</v>
      </c>
      <c r="F4">
        <v>36</v>
      </c>
      <c r="G4" s="2">
        <v>6000000</v>
      </c>
      <c r="H4" s="7">
        <f t="shared" si="1"/>
        <v>79</v>
      </c>
      <c r="I4" t="s">
        <v>186</v>
      </c>
      <c r="J4">
        <f t="shared" si="2"/>
        <v>1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3"/>
        <v>0</v>
      </c>
      <c r="R4">
        <f t="shared" si="4"/>
        <v>0</v>
      </c>
      <c r="S4">
        <v>4.7</v>
      </c>
      <c r="T4">
        <v>0</v>
      </c>
      <c r="U4">
        <v>0</v>
      </c>
      <c r="V4" s="5">
        <v>0</v>
      </c>
      <c r="X4" t="s">
        <v>202</v>
      </c>
      <c r="Y4">
        <f>SUMPRODUCT(V2:V141,T2:T141)</f>
        <v>3</v>
      </c>
    </row>
    <row r="5" spans="1:35" x14ac:dyDescent="0.2">
      <c r="A5" t="s">
        <v>17</v>
      </c>
      <c r="B5" t="s">
        <v>37</v>
      </c>
      <c r="C5">
        <v>132</v>
      </c>
      <c r="D5">
        <v>127</v>
      </c>
      <c r="E5" s="1">
        <v>0.28199999999999997</v>
      </c>
      <c r="F5">
        <v>15</v>
      </c>
      <c r="G5" s="2">
        <v>760000</v>
      </c>
      <c r="H5" s="7">
        <f t="shared" si="1"/>
        <v>98</v>
      </c>
      <c r="I5" t="s">
        <v>47</v>
      </c>
      <c r="J5">
        <f t="shared" si="2"/>
        <v>0</v>
      </c>
      <c r="K5">
        <f t="shared" si="0"/>
        <v>1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3"/>
        <v>0</v>
      </c>
      <c r="R5">
        <f t="shared" si="4"/>
        <v>0</v>
      </c>
      <c r="S5">
        <v>2.4</v>
      </c>
      <c r="T5">
        <v>0</v>
      </c>
      <c r="U5">
        <v>0</v>
      </c>
      <c r="V5" s="5">
        <v>0</v>
      </c>
    </row>
    <row r="6" spans="1:35" x14ac:dyDescent="0.2">
      <c r="A6" t="s">
        <v>175</v>
      </c>
      <c r="B6" t="s">
        <v>44</v>
      </c>
      <c r="C6">
        <v>135</v>
      </c>
      <c r="D6">
        <v>128</v>
      </c>
      <c r="E6" s="1">
        <v>0.25900000000000001</v>
      </c>
      <c r="F6">
        <v>16</v>
      </c>
      <c r="G6" s="2">
        <v>760000</v>
      </c>
      <c r="H6" s="7">
        <f t="shared" si="1"/>
        <v>98</v>
      </c>
      <c r="I6" t="s">
        <v>186</v>
      </c>
      <c r="J6">
        <f t="shared" si="2"/>
        <v>1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3"/>
        <v>0</v>
      </c>
      <c r="R6">
        <f t="shared" si="4"/>
        <v>0</v>
      </c>
      <c r="S6">
        <v>1.9</v>
      </c>
      <c r="T6">
        <v>0</v>
      </c>
      <c r="U6">
        <v>0</v>
      </c>
      <c r="V6" s="5">
        <v>0</v>
      </c>
    </row>
    <row r="7" spans="1:35" x14ac:dyDescent="0.2">
      <c r="A7" t="s">
        <v>135</v>
      </c>
      <c r="B7" t="s">
        <v>65</v>
      </c>
      <c r="C7">
        <v>145</v>
      </c>
      <c r="D7">
        <v>148</v>
      </c>
      <c r="E7" s="1">
        <v>0.27300000000000002</v>
      </c>
      <c r="F7">
        <v>17</v>
      </c>
      <c r="G7" s="2">
        <v>9000000</v>
      </c>
      <c r="H7" s="7">
        <f t="shared" si="1"/>
        <v>67</v>
      </c>
      <c r="I7" t="s">
        <v>186</v>
      </c>
      <c r="J7">
        <f t="shared" si="2"/>
        <v>1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3"/>
        <v>0</v>
      </c>
      <c r="R7">
        <f t="shared" si="4"/>
        <v>0</v>
      </c>
      <c r="S7">
        <v>2.6</v>
      </c>
      <c r="T7">
        <v>0</v>
      </c>
      <c r="U7">
        <v>0</v>
      </c>
      <c r="V7" s="5">
        <v>0</v>
      </c>
      <c r="X7" t="s">
        <v>191</v>
      </c>
      <c r="Y7">
        <f>SUMPRODUCT(V2:V141,G2:G141)</f>
        <v>213150000</v>
      </c>
    </row>
    <row r="8" spans="1:35" x14ac:dyDescent="0.2">
      <c r="A8" t="s">
        <v>87</v>
      </c>
      <c r="B8" t="s">
        <v>38</v>
      </c>
      <c r="C8">
        <v>150</v>
      </c>
      <c r="D8">
        <v>158</v>
      </c>
      <c r="E8" s="1">
        <v>0.26800000000000002</v>
      </c>
      <c r="F8">
        <v>15</v>
      </c>
      <c r="G8" s="2">
        <v>11500000</v>
      </c>
      <c r="H8" s="7">
        <f t="shared" si="1"/>
        <v>56</v>
      </c>
      <c r="I8" t="s">
        <v>100</v>
      </c>
      <c r="J8">
        <f t="shared" si="2"/>
        <v>0</v>
      </c>
      <c r="K8">
        <f t="shared" si="0"/>
        <v>0</v>
      </c>
      <c r="L8">
        <f t="shared" si="0"/>
        <v>0</v>
      </c>
      <c r="M8">
        <f t="shared" si="0"/>
        <v>1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3"/>
        <v>1</v>
      </c>
      <c r="R8">
        <f t="shared" si="4"/>
        <v>0</v>
      </c>
      <c r="S8">
        <v>3.9</v>
      </c>
      <c r="T8">
        <v>0</v>
      </c>
      <c r="U8">
        <v>0</v>
      </c>
      <c r="V8" s="5">
        <v>0</v>
      </c>
      <c r="X8" t="s">
        <v>192</v>
      </c>
      <c r="Y8">
        <f>SUMPRODUCT(V2:V141,S2:S141)</f>
        <v>89.8</v>
      </c>
    </row>
    <row r="9" spans="1:35" x14ac:dyDescent="0.2">
      <c r="A9" t="s">
        <v>182</v>
      </c>
      <c r="B9" t="s">
        <v>120</v>
      </c>
      <c r="C9">
        <v>142</v>
      </c>
      <c r="D9">
        <v>144</v>
      </c>
      <c r="E9" s="1">
        <v>0.27</v>
      </c>
      <c r="F9">
        <v>14</v>
      </c>
      <c r="G9" s="2">
        <v>16000000</v>
      </c>
      <c r="H9" s="7">
        <f t="shared" si="1"/>
        <v>39</v>
      </c>
      <c r="I9" t="s">
        <v>186</v>
      </c>
      <c r="J9">
        <f t="shared" si="2"/>
        <v>1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3"/>
        <v>0</v>
      </c>
      <c r="R9">
        <f t="shared" si="4"/>
        <v>0</v>
      </c>
      <c r="S9">
        <v>2.2000000000000002</v>
      </c>
      <c r="T9">
        <v>0</v>
      </c>
      <c r="U9">
        <v>0</v>
      </c>
      <c r="V9" s="5">
        <v>0</v>
      </c>
    </row>
    <row r="10" spans="1:35" x14ac:dyDescent="0.2">
      <c r="A10" t="s">
        <v>69</v>
      </c>
      <c r="B10" t="s">
        <v>70</v>
      </c>
      <c r="C10">
        <v>148</v>
      </c>
      <c r="D10">
        <v>140</v>
      </c>
      <c r="E10" s="1">
        <v>0.25800000000000001</v>
      </c>
      <c r="F10">
        <v>24</v>
      </c>
      <c r="G10" s="2">
        <v>760000</v>
      </c>
      <c r="H10" s="7">
        <f t="shared" si="1"/>
        <v>98</v>
      </c>
      <c r="I10" t="s">
        <v>76</v>
      </c>
      <c r="J10">
        <f t="shared" si="2"/>
        <v>0</v>
      </c>
      <c r="K10">
        <f t="shared" si="0"/>
        <v>0</v>
      </c>
      <c r="L10">
        <f t="shared" si="0"/>
        <v>1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3"/>
        <v>0</v>
      </c>
      <c r="R10">
        <f t="shared" si="4"/>
        <v>1</v>
      </c>
      <c r="S10">
        <v>2.4</v>
      </c>
      <c r="T10">
        <v>0</v>
      </c>
      <c r="U10">
        <v>1</v>
      </c>
      <c r="V10" s="5">
        <v>0</v>
      </c>
    </row>
    <row r="11" spans="1:35" x14ac:dyDescent="0.2">
      <c r="A11" t="s">
        <v>64</v>
      </c>
      <c r="B11" t="s">
        <v>65</v>
      </c>
      <c r="C11">
        <v>128</v>
      </c>
      <c r="D11">
        <v>118</v>
      </c>
      <c r="E11" s="1">
        <v>0.251</v>
      </c>
      <c r="F11">
        <v>21</v>
      </c>
      <c r="G11" s="2">
        <v>20000000</v>
      </c>
      <c r="H11" s="7">
        <f t="shared" si="1"/>
        <v>26</v>
      </c>
      <c r="I11" t="s">
        <v>76</v>
      </c>
      <c r="J11">
        <f t="shared" si="2"/>
        <v>0</v>
      </c>
      <c r="K11">
        <f t="shared" si="0"/>
        <v>0</v>
      </c>
      <c r="L11">
        <f t="shared" si="0"/>
        <v>1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3"/>
        <v>0</v>
      </c>
      <c r="R11">
        <f t="shared" si="4"/>
        <v>1</v>
      </c>
      <c r="S11">
        <v>1.5</v>
      </c>
      <c r="T11">
        <v>0</v>
      </c>
      <c r="U11">
        <v>0</v>
      </c>
      <c r="V11" s="5">
        <v>0</v>
      </c>
      <c r="X11" t="s">
        <v>194</v>
      </c>
      <c r="Y11">
        <f>COUNTIFS(V2:V141,1,E2:E141,"&gt;=0.3")</f>
        <v>6</v>
      </c>
    </row>
    <row r="12" spans="1:35" x14ac:dyDescent="0.2">
      <c r="A12" t="s">
        <v>137</v>
      </c>
      <c r="B12" t="s">
        <v>31</v>
      </c>
      <c r="C12">
        <v>150</v>
      </c>
      <c r="D12">
        <v>160</v>
      </c>
      <c r="E12" s="1">
        <v>0.27200000000000002</v>
      </c>
      <c r="F12">
        <v>31</v>
      </c>
      <c r="G12" s="2">
        <v>4800000</v>
      </c>
      <c r="H12" s="7">
        <f t="shared" si="1"/>
        <v>87</v>
      </c>
      <c r="I12" t="s">
        <v>141</v>
      </c>
      <c r="J12">
        <f t="shared" si="2"/>
        <v>0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1</v>
      </c>
      <c r="Q12">
        <f t="shared" si="3"/>
        <v>0</v>
      </c>
      <c r="R12">
        <f t="shared" si="4"/>
        <v>0</v>
      </c>
      <c r="S12">
        <v>3.4</v>
      </c>
      <c r="T12">
        <v>0</v>
      </c>
      <c r="U12">
        <v>0</v>
      </c>
      <c r="V12" s="5">
        <v>0</v>
      </c>
    </row>
    <row r="13" spans="1:35" x14ac:dyDescent="0.2">
      <c r="A13" t="s">
        <v>110</v>
      </c>
      <c r="B13" t="s">
        <v>65</v>
      </c>
      <c r="C13">
        <v>155</v>
      </c>
      <c r="D13">
        <v>153</v>
      </c>
      <c r="E13" s="1">
        <v>0.26200000000000001</v>
      </c>
      <c r="F13">
        <v>18</v>
      </c>
      <c r="G13" s="2">
        <v>760000</v>
      </c>
      <c r="H13" s="7">
        <f t="shared" si="1"/>
        <v>98</v>
      </c>
      <c r="I13" t="s">
        <v>121</v>
      </c>
      <c r="J13">
        <f t="shared" si="2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1</v>
      </c>
      <c r="P13">
        <f t="shared" si="0"/>
        <v>0</v>
      </c>
      <c r="Q13">
        <f t="shared" si="3"/>
        <v>1</v>
      </c>
      <c r="R13">
        <f t="shared" si="4"/>
        <v>0</v>
      </c>
      <c r="S13">
        <v>3.7</v>
      </c>
      <c r="T13">
        <v>0</v>
      </c>
      <c r="U13">
        <v>1</v>
      </c>
      <c r="V13" s="5">
        <v>0</v>
      </c>
    </row>
    <row r="14" spans="1:35" x14ac:dyDescent="0.2">
      <c r="A14" t="s">
        <v>18</v>
      </c>
      <c r="B14" t="s">
        <v>38</v>
      </c>
      <c r="C14">
        <v>136</v>
      </c>
      <c r="D14">
        <v>98</v>
      </c>
      <c r="E14" s="1">
        <v>0.19500000000000001</v>
      </c>
      <c r="F14">
        <v>14</v>
      </c>
      <c r="G14" s="2">
        <v>760000</v>
      </c>
      <c r="H14" s="7">
        <f t="shared" si="1"/>
        <v>98</v>
      </c>
      <c r="I14" t="s">
        <v>47</v>
      </c>
      <c r="J14">
        <f t="shared" si="2"/>
        <v>0</v>
      </c>
      <c r="K14">
        <f t="shared" si="0"/>
        <v>1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3"/>
        <v>0</v>
      </c>
      <c r="R14">
        <f t="shared" si="4"/>
        <v>0</v>
      </c>
      <c r="S14">
        <v>1.5</v>
      </c>
      <c r="T14">
        <v>1</v>
      </c>
      <c r="U14">
        <v>0</v>
      </c>
      <c r="V14" s="5">
        <v>0</v>
      </c>
      <c r="X14" t="s">
        <v>195</v>
      </c>
      <c r="Y14">
        <f>COUNTIFS(H2:H141,"&lt;=15",V2:V141,"=1")</f>
        <v>4</v>
      </c>
    </row>
    <row r="15" spans="1:35" x14ac:dyDescent="0.2">
      <c r="A15" t="s">
        <v>106</v>
      </c>
      <c r="B15" t="s">
        <v>29</v>
      </c>
      <c r="C15">
        <v>159</v>
      </c>
      <c r="D15">
        <v>186</v>
      </c>
      <c r="E15" s="1">
        <v>0.308</v>
      </c>
      <c r="F15">
        <v>31</v>
      </c>
      <c r="G15" s="2">
        <v>760000</v>
      </c>
      <c r="H15" s="7">
        <f t="shared" si="1"/>
        <v>98</v>
      </c>
      <c r="I15" t="s">
        <v>121</v>
      </c>
      <c r="J15">
        <f t="shared" si="2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1</v>
      </c>
      <c r="P15">
        <f t="shared" si="0"/>
        <v>0</v>
      </c>
      <c r="Q15">
        <f t="shared" si="3"/>
        <v>1</v>
      </c>
      <c r="R15">
        <f t="shared" si="4"/>
        <v>0</v>
      </c>
      <c r="S15">
        <v>7</v>
      </c>
      <c r="T15">
        <v>0</v>
      </c>
      <c r="U15">
        <v>1</v>
      </c>
      <c r="V15" s="5">
        <v>1</v>
      </c>
    </row>
    <row r="16" spans="1:35" x14ac:dyDescent="0.2">
      <c r="A16" t="s">
        <v>82</v>
      </c>
      <c r="B16" t="s">
        <v>83</v>
      </c>
      <c r="C16">
        <v>128</v>
      </c>
      <c r="D16">
        <v>112</v>
      </c>
      <c r="E16" s="1">
        <v>0.249</v>
      </c>
      <c r="F16">
        <v>24</v>
      </c>
      <c r="G16" s="2">
        <v>8700000</v>
      </c>
      <c r="H16" s="7">
        <f t="shared" si="1"/>
        <v>70</v>
      </c>
      <c r="I16" t="s">
        <v>100</v>
      </c>
      <c r="J16">
        <f t="shared" si="2"/>
        <v>0</v>
      </c>
      <c r="K16">
        <f t="shared" si="0"/>
        <v>0</v>
      </c>
      <c r="L16">
        <f t="shared" si="0"/>
        <v>0</v>
      </c>
      <c r="M16">
        <f t="shared" si="0"/>
        <v>1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3"/>
        <v>1</v>
      </c>
      <c r="R16">
        <f t="shared" si="4"/>
        <v>0</v>
      </c>
      <c r="S16">
        <v>2.5</v>
      </c>
      <c r="T16">
        <v>0</v>
      </c>
      <c r="U16">
        <v>0</v>
      </c>
      <c r="V16" s="5">
        <v>0</v>
      </c>
    </row>
    <row r="17" spans="1:22" x14ac:dyDescent="0.2">
      <c r="A17" t="s">
        <v>93</v>
      </c>
      <c r="B17" t="s">
        <v>52</v>
      </c>
      <c r="C17">
        <v>140</v>
      </c>
      <c r="D17">
        <v>137</v>
      </c>
      <c r="E17" s="1">
        <v>0.26200000000000001</v>
      </c>
      <c r="F17">
        <v>12</v>
      </c>
      <c r="G17" s="2">
        <v>760000</v>
      </c>
      <c r="H17" s="7">
        <f t="shared" si="1"/>
        <v>98</v>
      </c>
      <c r="I17" t="s">
        <v>100</v>
      </c>
      <c r="J17">
        <f t="shared" si="2"/>
        <v>0</v>
      </c>
      <c r="K17">
        <f t="shared" si="0"/>
        <v>0</v>
      </c>
      <c r="L17">
        <f t="shared" si="0"/>
        <v>0</v>
      </c>
      <c r="M17">
        <f t="shared" si="0"/>
        <v>1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3"/>
        <v>1</v>
      </c>
      <c r="R17">
        <f t="shared" si="4"/>
        <v>0</v>
      </c>
      <c r="S17">
        <v>2.2999999999999998</v>
      </c>
      <c r="T17">
        <v>0</v>
      </c>
      <c r="U17">
        <v>0</v>
      </c>
      <c r="V17" s="5">
        <v>0</v>
      </c>
    </row>
    <row r="18" spans="1:22" x14ac:dyDescent="0.2">
      <c r="A18" t="s">
        <v>140</v>
      </c>
      <c r="B18" t="s">
        <v>39</v>
      </c>
      <c r="C18">
        <v>144</v>
      </c>
      <c r="D18">
        <v>140</v>
      </c>
      <c r="E18" s="1">
        <v>0.26300000000000001</v>
      </c>
      <c r="F18">
        <v>29</v>
      </c>
      <c r="G18" s="2">
        <v>760000</v>
      </c>
      <c r="H18" s="7">
        <f t="shared" si="1"/>
        <v>98</v>
      </c>
      <c r="I18" t="s">
        <v>141</v>
      </c>
      <c r="J18">
        <f t="shared" si="2"/>
        <v>0</v>
      </c>
      <c r="K18">
        <f t="shared" si="2"/>
        <v>0</v>
      </c>
      <c r="L18">
        <f t="shared" si="2"/>
        <v>0</v>
      </c>
      <c r="M18">
        <f t="shared" si="2"/>
        <v>0</v>
      </c>
      <c r="N18">
        <f t="shared" si="2"/>
        <v>0</v>
      </c>
      <c r="O18">
        <f t="shared" si="2"/>
        <v>0</v>
      </c>
      <c r="P18">
        <f t="shared" si="2"/>
        <v>1</v>
      </c>
      <c r="Q18">
        <f t="shared" si="3"/>
        <v>0</v>
      </c>
      <c r="R18">
        <f t="shared" si="4"/>
        <v>0</v>
      </c>
      <c r="S18">
        <v>2.1</v>
      </c>
      <c r="T18">
        <v>0</v>
      </c>
      <c r="U18">
        <v>0</v>
      </c>
      <c r="V18" s="5">
        <v>0</v>
      </c>
    </row>
    <row r="19" spans="1:22" x14ac:dyDescent="0.2">
      <c r="A19" t="s">
        <v>184</v>
      </c>
      <c r="B19" t="s">
        <v>45</v>
      </c>
      <c r="C19">
        <v>145</v>
      </c>
      <c r="D19">
        <v>141</v>
      </c>
      <c r="E19" s="1">
        <v>0.25900000000000001</v>
      </c>
      <c r="F19">
        <v>18</v>
      </c>
      <c r="G19" s="2">
        <v>760000</v>
      </c>
      <c r="H19" s="7">
        <f t="shared" si="1"/>
        <v>98</v>
      </c>
      <c r="I19" t="s">
        <v>186</v>
      </c>
      <c r="J19">
        <f t="shared" si="2"/>
        <v>1</v>
      </c>
      <c r="K19">
        <f t="shared" si="2"/>
        <v>0</v>
      </c>
      <c r="L19">
        <f t="shared" si="2"/>
        <v>0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3"/>
        <v>0</v>
      </c>
      <c r="R19">
        <f t="shared" si="4"/>
        <v>0</v>
      </c>
      <c r="S19">
        <v>2.4</v>
      </c>
      <c r="T19">
        <v>0</v>
      </c>
      <c r="U19">
        <v>0</v>
      </c>
      <c r="V19" s="5">
        <v>0</v>
      </c>
    </row>
    <row r="20" spans="1:22" x14ac:dyDescent="0.2">
      <c r="A20" t="s">
        <v>174</v>
      </c>
      <c r="B20" t="s">
        <v>40</v>
      </c>
      <c r="C20">
        <v>154</v>
      </c>
      <c r="D20">
        <v>165</v>
      </c>
      <c r="E20" s="1">
        <v>0.27700000000000002</v>
      </c>
      <c r="F20">
        <v>25</v>
      </c>
      <c r="G20" s="2">
        <v>13000000</v>
      </c>
      <c r="H20" s="7">
        <f t="shared" si="1"/>
        <v>45</v>
      </c>
      <c r="I20" t="s">
        <v>186</v>
      </c>
      <c r="J20">
        <f t="shared" si="2"/>
        <v>1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3"/>
        <v>0</v>
      </c>
      <c r="R20">
        <f t="shared" si="4"/>
        <v>0</v>
      </c>
      <c r="S20">
        <v>4</v>
      </c>
      <c r="T20">
        <v>0</v>
      </c>
      <c r="U20">
        <v>0</v>
      </c>
      <c r="V20" s="5">
        <v>0</v>
      </c>
    </row>
    <row r="21" spans="1:22" x14ac:dyDescent="0.2">
      <c r="A21" t="s">
        <v>67</v>
      </c>
      <c r="B21" t="s">
        <v>27</v>
      </c>
      <c r="C21">
        <v>155</v>
      </c>
      <c r="D21">
        <v>170</v>
      </c>
      <c r="E21" s="1">
        <v>0.28999999999999998</v>
      </c>
      <c r="F21">
        <v>34</v>
      </c>
      <c r="G21" s="2">
        <v>27000000</v>
      </c>
      <c r="H21" s="7">
        <f t="shared" si="1"/>
        <v>13</v>
      </c>
      <c r="I21" t="s">
        <v>76</v>
      </c>
      <c r="J21">
        <f t="shared" si="2"/>
        <v>0</v>
      </c>
      <c r="K21">
        <f t="shared" si="2"/>
        <v>0</v>
      </c>
      <c r="L21">
        <f t="shared" si="2"/>
        <v>1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3"/>
        <v>0</v>
      </c>
      <c r="R21">
        <f t="shared" si="4"/>
        <v>1</v>
      </c>
      <c r="S21">
        <v>6.2</v>
      </c>
      <c r="T21">
        <v>0</v>
      </c>
      <c r="U21">
        <v>1</v>
      </c>
      <c r="V21" s="5">
        <v>0</v>
      </c>
    </row>
    <row r="22" spans="1:22" x14ac:dyDescent="0.2">
      <c r="A22" t="s">
        <v>132</v>
      </c>
      <c r="B22" t="s">
        <v>44</v>
      </c>
      <c r="C22">
        <v>120</v>
      </c>
      <c r="D22">
        <v>118</v>
      </c>
      <c r="E22" s="1">
        <v>0.25700000000000001</v>
      </c>
      <c r="F22">
        <v>22</v>
      </c>
      <c r="G22" s="2">
        <v>15000000</v>
      </c>
      <c r="H22" s="7">
        <f t="shared" si="1"/>
        <v>41</v>
      </c>
      <c r="I22" t="s">
        <v>186</v>
      </c>
      <c r="J22">
        <f t="shared" si="2"/>
        <v>1</v>
      </c>
      <c r="K22">
        <f t="shared" si="2"/>
        <v>0</v>
      </c>
      <c r="L22">
        <f t="shared" si="2"/>
        <v>0</v>
      </c>
      <c r="M22">
        <f t="shared" si="2"/>
        <v>0</v>
      </c>
      <c r="N22">
        <f t="shared" si="2"/>
        <v>0</v>
      </c>
      <c r="O22">
        <f t="shared" si="2"/>
        <v>0</v>
      </c>
      <c r="P22">
        <f t="shared" si="2"/>
        <v>0</v>
      </c>
      <c r="Q22">
        <f t="shared" si="3"/>
        <v>0</v>
      </c>
      <c r="R22">
        <f t="shared" si="4"/>
        <v>0</v>
      </c>
      <c r="S22">
        <v>2</v>
      </c>
      <c r="T22">
        <v>0</v>
      </c>
      <c r="U22">
        <v>1</v>
      </c>
      <c r="V22" s="5">
        <v>0</v>
      </c>
    </row>
    <row r="23" spans="1:22" x14ac:dyDescent="0.2">
      <c r="A23" t="s">
        <v>10</v>
      </c>
      <c r="B23" t="s">
        <v>30</v>
      </c>
      <c r="C23">
        <v>150</v>
      </c>
      <c r="D23">
        <v>120</v>
      </c>
      <c r="E23" s="1">
        <v>0.247</v>
      </c>
      <c r="F23">
        <v>60</v>
      </c>
      <c r="G23" s="2">
        <v>17500000</v>
      </c>
      <c r="H23" s="7">
        <f t="shared" si="1"/>
        <v>35</v>
      </c>
      <c r="I23" t="s">
        <v>47</v>
      </c>
      <c r="J23">
        <f t="shared" si="2"/>
        <v>0</v>
      </c>
      <c r="K23">
        <f t="shared" si="2"/>
        <v>1</v>
      </c>
      <c r="L23">
        <f t="shared" si="2"/>
        <v>0</v>
      </c>
      <c r="M23">
        <f t="shared" si="2"/>
        <v>0</v>
      </c>
      <c r="N23">
        <f t="shared" si="2"/>
        <v>0</v>
      </c>
      <c r="O23">
        <f t="shared" si="2"/>
        <v>0</v>
      </c>
      <c r="P23">
        <f t="shared" si="2"/>
        <v>0</v>
      </c>
      <c r="Q23">
        <f t="shared" si="3"/>
        <v>0</v>
      </c>
      <c r="R23">
        <f t="shared" si="4"/>
        <v>0</v>
      </c>
      <c r="S23">
        <v>5.0999999999999996</v>
      </c>
      <c r="T23">
        <v>0</v>
      </c>
      <c r="U23">
        <v>0</v>
      </c>
      <c r="V23" s="5">
        <v>0</v>
      </c>
    </row>
    <row r="24" spans="1:22" x14ac:dyDescent="0.2">
      <c r="A24" t="s">
        <v>102</v>
      </c>
      <c r="B24" t="s">
        <v>44</v>
      </c>
      <c r="C24">
        <v>150</v>
      </c>
      <c r="D24">
        <v>160</v>
      </c>
      <c r="E24" s="1">
        <v>0.26800000000000002</v>
      </c>
      <c r="F24">
        <v>23</v>
      </c>
      <c r="G24" s="2">
        <v>33300000</v>
      </c>
      <c r="H24" s="7">
        <f t="shared" si="1"/>
        <v>5</v>
      </c>
      <c r="I24" t="s">
        <v>121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4.2</v>
      </c>
      <c r="T24">
        <v>0</v>
      </c>
      <c r="U24">
        <v>1</v>
      </c>
      <c r="V24" s="5">
        <v>0</v>
      </c>
    </row>
    <row r="25" spans="1:22" x14ac:dyDescent="0.2">
      <c r="A25" t="s">
        <v>68</v>
      </c>
      <c r="B25" t="s">
        <v>44</v>
      </c>
      <c r="C25">
        <v>124</v>
      </c>
      <c r="D25">
        <v>110</v>
      </c>
      <c r="E25" s="1">
        <v>0.23899999999999999</v>
      </c>
      <c r="F25">
        <v>19</v>
      </c>
      <c r="G25" s="2">
        <v>6000000</v>
      </c>
      <c r="H25" s="7">
        <f t="shared" si="1"/>
        <v>79</v>
      </c>
      <c r="I25" t="s">
        <v>76</v>
      </c>
      <c r="J25">
        <f t="shared" si="2"/>
        <v>0</v>
      </c>
      <c r="K25">
        <f t="shared" si="2"/>
        <v>0</v>
      </c>
      <c r="L25">
        <f t="shared" si="2"/>
        <v>1</v>
      </c>
      <c r="M25">
        <f t="shared" si="2"/>
        <v>0</v>
      </c>
      <c r="N25">
        <f t="shared" si="2"/>
        <v>0</v>
      </c>
      <c r="O25">
        <f t="shared" si="2"/>
        <v>0</v>
      </c>
      <c r="P25">
        <f t="shared" si="2"/>
        <v>0</v>
      </c>
      <c r="Q25">
        <f t="shared" si="3"/>
        <v>0</v>
      </c>
      <c r="R25">
        <f t="shared" si="4"/>
        <v>1</v>
      </c>
      <c r="S25">
        <v>1.1000000000000001</v>
      </c>
      <c r="T25">
        <v>0</v>
      </c>
      <c r="U25">
        <v>0</v>
      </c>
      <c r="V25" s="5">
        <v>0</v>
      </c>
    </row>
    <row r="26" spans="1:22" x14ac:dyDescent="0.2">
      <c r="A26" t="s">
        <v>157</v>
      </c>
      <c r="B26" t="s">
        <v>31</v>
      </c>
      <c r="C26">
        <v>146</v>
      </c>
      <c r="D26">
        <v>145</v>
      </c>
      <c r="E26" s="1">
        <v>0.26500000000000001</v>
      </c>
      <c r="F26">
        <v>18</v>
      </c>
      <c r="G26" s="2">
        <v>4500000</v>
      </c>
      <c r="H26" s="7">
        <f t="shared" si="1"/>
        <v>91</v>
      </c>
      <c r="I26" t="s">
        <v>186</v>
      </c>
      <c r="J26">
        <f t="shared" si="2"/>
        <v>1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3"/>
        <v>0</v>
      </c>
      <c r="R26">
        <f t="shared" si="4"/>
        <v>0</v>
      </c>
      <c r="S26">
        <v>3.1</v>
      </c>
      <c r="T26">
        <v>0</v>
      </c>
      <c r="U26">
        <v>0</v>
      </c>
      <c r="V26" s="5">
        <v>0</v>
      </c>
    </row>
    <row r="27" spans="1:22" x14ac:dyDescent="0.2">
      <c r="A27" t="s">
        <v>181</v>
      </c>
      <c r="B27" t="s">
        <v>36</v>
      </c>
      <c r="C27">
        <v>139</v>
      </c>
      <c r="D27">
        <v>132</v>
      </c>
      <c r="E27" s="1">
        <v>0.25900000000000001</v>
      </c>
      <c r="F27">
        <v>17</v>
      </c>
      <c r="G27" s="2">
        <v>7500000</v>
      </c>
      <c r="H27" s="7">
        <f t="shared" si="1"/>
        <v>76</v>
      </c>
      <c r="I27" t="s">
        <v>186</v>
      </c>
      <c r="J27">
        <f t="shared" si="2"/>
        <v>1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  <c r="P27">
        <f t="shared" si="2"/>
        <v>0</v>
      </c>
      <c r="Q27">
        <f t="shared" si="3"/>
        <v>0</v>
      </c>
      <c r="R27">
        <f t="shared" si="4"/>
        <v>0</v>
      </c>
      <c r="S27">
        <v>2.2999999999999998</v>
      </c>
      <c r="T27">
        <v>0</v>
      </c>
      <c r="U27">
        <v>0</v>
      </c>
      <c r="V27" s="5">
        <v>0</v>
      </c>
    </row>
    <row r="28" spans="1:22" x14ac:dyDescent="0.2">
      <c r="A28" t="s">
        <v>24</v>
      </c>
      <c r="B28" t="s">
        <v>44</v>
      </c>
      <c r="C28">
        <v>101</v>
      </c>
      <c r="D28">
        <v>82</v>
      </c>
      <c r="E28" s="1">
        <v>0.22600000000000001</v>
      </c>
      <c r="F28">
        <v>6</v>
      </c>
      <c r="G28" s="2">
        <v>10000000</v>
      </c>
      <c r="H28" s="7">
        <f t="shared" si="1"/>
        <v>64</v>
      </c>
      <c r="I28" t="s">
        <v>47</v>
      </c>
      <c r="J28">
        <f t="shared" si="2"/>
        <v>0</v>
      </c>
      <c r="K28">
        <f t="shared" si="2"/>
        <v>1</v>
      </c>
      <c r="L28">
        <f t="shared" si="2"/>
        <v>0</v>
      </c>
      <c r="M28">
        <f t="shared" si="2"/>
        <v>0</v>
      </c>
      <c r="N28">
        <f t="shared" si="2"/>
        <v>0</v>
      </c>
      <c r="O28">
        <f t="shared" si="2"/>
        <v>0</v>
      </c>
      <c r="P28">
        <f t="shared" si="2"/>
        <v>0</v>
      </c>
      <c r="Q28">
        <f t="shared" si="3"/>
        <v>0</v>
      </c>
      <c r="R28">
        <f t="shared" si="4"/>
        <v>0</v>
      </c>
      <c r="S28">
        <v>1</v>
      </c>
      <c r="T28">
        <v>0</v>
      </c>
      <c r="U28">
        <v>0</v>
      </c>
      <c r="V28" s="5">
        <v>0</v>
      </c>
    </row>
    <row r="29" spans="1:22" x14ac:dyDescent="0.2">
      <c r="A29" t="s">
        <v>55</v>
      </c>
      <c r="B29" t="s">
        <v>33</v>
      </c>
      <c r="C29">
        <v>155</v>
      </c>
      <c r="D29">
        <v>150</v>
      </c>
      <c r="E29" s="1">
        <v>0.25700000000000001</v>
      </c>
      <c r="F29">
        <v>32</v>
      </c>
      <c r="G29" s="2">
        <v>6500000</v>
      </c>
      <c r="H29" s="7">
        <f t="shared" si="1"/>
        <v>78</v>
      </c>
      <c r="I29" t="s">
        <v>76</v>
      </c>
      <c r="J29">
        <f t="shared" si="2"/>
        <v>0</v>
      </c>
      <c r="K29">
        <f t="shared" si="2"/>
        <v>0</v>
      </c>
      <c r="L29">
        <f t="shared" si="2"/>
        <v>1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3"/>
        <v>0</v>
      </c>
      <c r="R29">
        <f t="shared" si="4"/>
        <v>1</v>
      </c>
      <c r="S29">
        <v>3.6</v>
      </c>
      <c r="T29">
        <v>0</v>
      </c>
      <c r="U29">
        <v>0</v>
      </c>
      <c r="V29" s="5">
        <v>0</v>
      </c>
    </row>
    <row r="30" spans="1:22" x14ac:dyDescent="0.2">
      <c r="A30" t="s">
        <v>158</v>
      </c>
      <c r="B30" t="s">
        <v>32</v>
      </c>
      <c r="C30">
        <v>147</v>
      </c>
      <c r="D30">
        <v>151</v>
      </c>
      <c r="E30" s="1">
        <v>0.27200000000000002</v>
      </c>
      <c r="F30">
        <v>21</v>
      </c>
      <c r="G30" s="2">
        <v>26000000</v>
      </c>
      <c r="H30" s="7">
        <f t="shared" si="1"/>
        <v>15</v>
      </c>
      <c r="I30" t="s">
        <v>186</v>
      </c>
      <c r="J30">
        <f t="shared" si="2"/>
        <v>1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  <c r="P30">
        <f t="shared" si="2"/>
        <v>0</v>
      </c>
      <c r="Q30">
        <f t="shared" si="3"/>
        <v>0</v>
      </c>
      <c r="R30">
        <f t="shared" si="4"/>
        <v>0</v>
      </c>
      <c r="S30">
        <v>3.8</v>
      </c>
      <c r="T30">
        <v>0</v>
      </c>
      <c r="U30">
        <v>0</v>
      </c>
      <c r="V30" s="5">
        <v>0</v>
      </c>
    </row>
    <row r="31" spans="1:22" x14ac:dyDescent="0.2">
      <c r="A31" t="s">
        <v>98</v>
      </c>
      <c r="B31" t="s">
        <v>86</v>
      </c>
      <c r="C31">
        <v>141</v>
      </c>
      <c r="D31">
        <v>132</v>
      </c>
      <c r="E31" s="1">
        <v>0.254</v>
      </c>
      <c r="F31">
        <v>21</v>
      </c>
      <c r="G31" s="2">
        <v>760000</v>
      </c>
      <c r="H31" s="7">
        <f t="shared" si="1"/>
        <v>98</v>
      </c>
      <c r="I31" t="s">
        <v>100</v>
      </c>
      <c r="J31">
        <f t="shared" si="2"/>
        <v>0</v>
      </c>
      <c r="K31">
        <f t="shared" si="2"/>
        <v>0</v>
      </c>
      <c r="L31">
        <f t="shared" si="2"/>
        <v>0</v>
      </c>
      <c r="M31">
        <f t="shared" si="2"/>
        <v>1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3"/>
        <v>1</v>
      </c>
      <c r="R31">
        <f t="shared" si="4"/>
        <v>0</v>
      </c>
      <c r="S31">
        <v>2.2000000000000002</v>
      </c>
      <c r="T31">
        <v>0</v>
      </c>
      <c r="U31">
        <v>0</v>
      </c>
      <c r="V31" s="5">
        <v>0</v>
      </c>
    </row>
    <row r="32" spans="1:22" x14ac:dyDescent="0.2">
      <c r="A32" t="s">
        <v>112</v>
      </c>
      <c r="B32" t="s">
        <v>35</v>
      </c>
      <c r="C32">
        <v>150</v>
      </c>
      <c r="D32">
        <v>151</v>
      </c>
      <c r="E32" s="1">
        <v>0.26300000000000001</v>
      </c>
      <c r="F32">
        <v>22</v>
      </c>
      <c r="G32" s="2">
        <v>760000</v>
      </c>
      <c r="H32" s="7">
        <f t="shared" si="1"/>
        <v>98</v>
      </c>
      <c r="I32" t="s">
        <v>121</v>
      </c>
      <c r="J32">
        <f t="shared" si="2"/>
        <v>0</v>
      </c>
      <c r="K32">
        <f t="shared" si="2"/>
        <v>0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2"/>
        <v>1</v>
      </c>
      <c r="P32">
        <f t="shared" si="2"/>
        <v>0</v>
      </c>
      <c r="Q32">
        <f t="shared" si="3"/>
        <v>1</v>
      </c>
      <c r="R32">
        <f t="shared" si="4"/>
        <v>0</v>
      </c>
      <c r="S32">
        <v>3.6</v>
      </c>
      <c r="T32">
        <v>0</v>
      </c>
      <c r="U32">
        <v>0</v>
      </c>
      <c r="V32" s="5">
        <v>0</v>
      </c>
    </row>
    <row r="33" spans="1:22" x14ac:dyDescent="0.2">
      <c r="A33" t="s">
        <v>95</v>
      </c>
      <c r="B33" t="s">
        <v>96</v>
      </c>
      <c r="C33">
        <v>118</v>
      </c>
      <c r="D33">
        <v>104</v>
      </c>
      <c r="E33" s="1">
        <v>0.248</v>
      </c>
      <c r="F33">
        <v>9</v>
      </c>
      <c r="G33" s="2">
        <v>2000000</v>
      </c>
      <c r="H33" s="7">
        <f t="shared" si="1"/>
        <v>95</v>
      </c>
      <c r="I33" t="s">
        <v>100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1</v>
      </c>
      <c r="N33">
        <f t="shared" si="2"/>
        <v>0</v>
      </c>
      <c r="O33">
        <f t="shared" si="2"/>
        <v>0</v>
      </c>
      <c r="P33">
        <f t="shared" si="2"/>
        <v>0</v>
      </c>
      <c r="Q33">
        <f t="shared" si="3"/>
        <v>1</v>
      </c>
      <c r="R33">
        <f t="shared" si="4"/>
        <v>0</v>
      </c>
      <c r="S33">
        <v>0.7</v>
      </c>
      <c r="T33">
        <v>0</v>
      </c>
      <c r="U33">
        <v>0</v>
      </c>
      <c r="V33" s="5">
        <v>0</v>
      </c>
    </row>
    <row r="34" spans="1:22" x14ac:dyDescent="0.2">
      <c r="A34" t="s">
        <v>155</v>
      </c>
      <c r="B34" t="s">
        <v>33</v>
      </c>
      <c r="C34">
        <v>153</v>
      </c>
      <c r="D34">
        <v>161</v>
      </c>
      <c r="E34" s="1">
        <v>0.27800000000000002</v>
      </c>
      <c r="F34">
        <v>19</v>
      </c>
      <c r="G34" s="2">
        <v>11100000</v>
      </c>
      <c r="H34" s="7">
        <f t="shared" si="1"/>
        <v>60</v>
      </c>
      <c r="I34" t="s">
        <v>186</v>
      </c>
      <c r="J34">
        <f t="shared" si="2"/>
        <v>1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2"/>
        <v>0</v>
      </c>
      <c r="P34">
        <f t="shared" si="2"/>
        <v>0</v>
      </c>
      <c r="Q34">
        <f t="shared" si="3"/>
        <v>0</v>
      </c>
      <c r="R34">
        <f t="shared" si="4"/>
        <v>0</v>
      </c>
      <c r="S34">
        <v>5.2</v>
      </c>
      <c r="T34">
        <v>0</v>
      </c>
      <c r="U34">
        <v>0</v>
      </c>
      <c r="V34" s="5">
        <v>1</v>
      </c>
    </row>
    <row r="35" spans="1:22" x14ac:dyDescent="0.2">
      <c r="A35" t="s">
        <v>103</v>
      </c>
      <c r="B35" t="s">
        <v>34</v>
      </c>
      <c r="C35">
        <v>144</v>
      </c>
      <c r="D35">
        <v>165</v>
      </c>
      <c r="E35" s="1">
        <v>0.28699999999999998</v>
      </c>
      <c r="F35">
        <v>30</v>
      </c>
      <c r="G35" s="2">
        <v>32500000</v>
      </c>
      <c r="H35" s="7">
        <f t="shared" si="1"/>
        <v>6</v>
      </c>
      <c r="I35" t="s">
        <v>121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5.5</v>
      </c>
      <c r="T35">
        <v>0</v>
      </c>
      <c r="U35">
        <v>1</v>
      </c>
      <c r="V35" s="5">
        <v>0</v>
      </c>
    </row>
    <row r="36" spans="1:22" x14ac:dyDescent="0.2">
      <c r="A36" t="s">
        <v>105</v>
      </c>
      <c r="B36" t="s">
        <v>86</v>
      </c>
      <c r="C36">
        <v>148</v>
      </c>
      <c r="D36">
        <v>151</v>
      </c>
      <c r="E36" s="1">
        <v>0.26300000000000001</v>
      </c>
      <c r="F36">
        <v>20</v>
      </c>
      <c r="G36" s="2">
        <v>25000000</v>
      </c>
      <c r="H36" s="7">
        <f t="shared" si="1"/>
        <v>17</v>
      </c>
      <c r="I36" t="s">
        <v>121</v>
      </c>
      <c r="J36">
        <f t="shared" si="2"/>
        <v>0</v>
      </c>
      <c r="K36">
        <f t="shared" si="2"/>
        <v>0</v>
      </c>
      <c r="L36">
        <f t="shared" si="2"/>
        <v>0</v>
      </c>
      <c r="M36">
        <f t="shared" si="2"/>
        <v>0</v>
      </c>
      <c r="N36">
        <f t="shared" si="2"/>
        <v>0</v>
      </c>
      <c r="O36">
        <f t="shared" si="2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4</v>
      </c>
      <c r="T36">
        <v>0</v>
      </c>
      <c r="U36">
        <v>1</v>
      </c>
      <c r="V36" s="5">
        <v>0</v>
      </c>
    </row>
    <row r="37" spans="1:22" x14ac:dyDescent="0.2">
      <c r="A37" t="s">
        <v>168</v>
      </c>
      <c r="B37" t="s">
        <v>37</v>
      </c>
      <c r="C37">
        <v>147</v>
      </c>
      <c r="D37">
        <v>145</v>
      </c>
      <c r="E37" s="1">
        <v>0.26400000000000001</v>
      </c>
      <c r="F37">
        <v>24</v>
      </c>
      <c r="G37" s="2">
        <v>4900000</v>
      </c>
      <c r="H37" s="7">
        <f t="shared" si="1"/>
        <v>85</v>
      </c>
      <c r="I37" t="s">
        <v>186</v>
      </c>
      <c r="J37">
        <f t="shared" si="2"/>
        <v>1</v>
      </c>
      <c r="K37">
        <f t="shared" si="2"/>
        <v>0</v>
      </c>
      <c r="L37">
        <f t="shared" si="2"/>
        <v>0</v>
      </c>
      <c r="M37">
        <f t="shared" si="2"/>
        <v>0</v>
      </c>
      <c r="N37">
        <f t="shared" si="2"/>
        <v>0</v>
      </c>
      <c r="O37">
        <f t="shared" si="2"/>
        <v>0</v>
      </c>
      <c r="P37">
        <f t="shared" si="2"/>
        <v>0</v>
      </c>
      <c r="Q37">
        <f t="shared" si="3"/>
        <v>0</v>
      </c>
      <c r="R37">
        <f t="shared" si="4"/>
        <v>0</v>
      </c>
      <c r="S37">
        <v>3</v>
      </c>
      <c r="T37">
        <v>0</v>
      </c>
      <c r="U37">
        <v>0</v>
      </c>
      <c r="V37" s="5">
        <v>0</v>
      </c>
    </row>
    <row r="38" spans="1:22" x14ac:dyDescent="0.2">
      <c r="A38" t="s">
        <v>66</v>
      </c>
      <c r="B38" t="s">
        <v>65</v>
      </c>
      <c r="C38">
        <v>120</v>
      </c>
      <c r="D38">
        <v>112</v>
      </c>
      <c r="E38" s="1">
        <v>0.26400000000000001</v>
      </c>
      <c r="F38">
        <v>15</v>
      </c>
      <c r="G38" s="2">
        <v>15000000</v>
      </c>
      <c r="H38" s="7">
        <f t="shared" si="1"/>
        <v>41</v>
      </c>
      <c r="I38" t="s">
        <v>100</v>
      </c>
      <c r="J38">
        <f t="shared" si="2"/>
        <v>0</v>
      </c>
      <c r="K38">
        <f t="shared" si="2"/>
        <v>0</v>
      </c>
      <c r="L38">
        <f t="shared" si="2"/>
        <v>0</v>
      </c>
      <c r="M38">
        <f t="shared" si="2"/>
        <v>1</v>
      </c>
      <c r="N38">
        <f t="shared" si="2"/>
        <v>0</v>
      </c>
      <c r="O38">
        <f t="shared" si="2"/>
        <v>0</v>
      </c>
      <c r="P38">
        <f t="shared" si="2"/>
        <v>0</v>
      </c>
      <c r="Q38">
        <f t="shared" si="3"/>
        <v>1</v>
      </c>
      <c r="R38">
        <f t="shared" si="4"/>
        <v>0</v>
      </c>
      <c r="S38">
        <v>2</v>
      </c>
      <c r="T38">
        <v>0</v>
      </c>
      <c r="U38">
        <v>0</v>
      </c>
      <c r="V38" s="5">
        <v>0</v>
      </c>
    </row>
    <row r="39" spans="1:22" x14ac:dyDescent="0.2">
      <c r="A39" t="s">
        <v>94</v>
      </c>
      <c r="B39" t="s">
        <v>44</v>
      </c>
      <c r="C39">
        <v>135</v>
      </c>
      <c r="D39">
        <v>128</v>
      </c>
      <c r="E39" s="1">
        <v>0.25900000000000001</v>
      </c>
      <c r="F39">
        <v>18</v>
      </c>
      <c r="G39" s="2">
        <v>760000</v>
      </c>
      <c r="H39" s="7">
        <f t="shared" si="1"/>
        <v>98</v>
      </c>
      <c r="I39" t="s">
        <v>187</v>
      </c>
      <c r="J39">
        <f t="shared" si="2"/>
        <v>0</v>
      </c>
      <c r="K39">
        <f t="shared" si="2"/>
        <v>0</v>
      </c>
      <c r="L39">
        <f t="shared" si="2"/>
        <v>0</v>
      </c>
      <c r="M39">
        <f t="shared" si="2"/>
        <v>0</v>
      </c>
      <c r="N39">
        <f t="shared" si="2"/>
        <v>1</v>
      </c>
      <c r="O39">
        <f t="shared" si="2"/>
        <v>0</v>
      </c>
      <c r="P39">
        <f t="shared" si="2"/>
        <v>0</v>
      </c>
      <c r="Q39">
        <f t="shared" si="3"/>
        <v>0</v>
      </c>
      <c r="R39">
        <f t="shared" si="4"/>
        <v>1</v>
      </c>
      <c r="S39">
        <v>2.5</v>
      </c>
      <c r="T39">
        <v>1</v>
      </c>
      <c r="U39">
        <v>0</v>
      </c>
      <c r="V39" s="5">
        <v>1</v>
      </c>
    </row>
    <row r="40" spans="1:22" x14ac:dyDescent="0.2">
      <c r="A40" t="s">
        <v>25</v>
      </c>
      <c r="B40" t="s">
        <v>45</v>
      </c>
      <c r="C40">
        <v>135</v>
      </c>
      <c r="D40">
        <v>137</v>
      </c>
      <c r="E40" s="1">
        <v>0.28399999999999997</v>
      </c>
      <c r="F40">
        <v>14</v>
      </c>
      <c r="G40" s="2">
        <v>6000000</v>
      </c>
      <c r="H40" s="7">
        <f t="shared" si="1"/>
        <v>79</v>
      </c>
      <c r="I40" t="s">
        <v>47</v>
      </c>
      <c r="J40">
        <f t="shared" si="2"/>
        <v>0</v>
      </c>
      <c r="K40">
        <f t="shared" si="2"/>
        <v>1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  <c r="P40">
        <f t="shared" si="2"/>
        <v>0</v>
      </c>
      <c r="Q40">
        <f t="shared" si="3"/>
        <v>0</v>
      </c>
      <c r="R40">
        <f t="shared" si="4"/>
        <v>0</v>
      </c>
      <c r="S40">
        <v>2.8</v>
      </c>
      <c r="T40">
        <v>0</v>
      </c>
      <c r="U40">
        <v>0</v>
      </c>
      <c r="V40" s="5">
        <v>0</v>
      </c>
    </row>
    <row r="41" spans="1:22" x14ac:dyDescent="0.2">
      <c r="A41" t="s">
        <v>113</v>
      </c>
      <c r="B41" t="s">
        <v>42</v>
      </c>
      <c r="C41">
        <v>154</v>
      </c>
      <c r="D41">
        <v>161</v>
      </c>
      <c r="E41" s="1">
        <v>0.26900000000000002</v>
      </c>
      <c r="F41">
        <v>26</v>
      </c>
      <c r="G41" s="2">
        <v>760000</v>
      </c>
      <c r="H41" s="7">
        <f t="shared" si="1"/>
        <v>98</v>
      </c>
      <c r="I41" t="s">
        <v>121</v>
      </c>
      <c r="J41">
        <f t="shared" si="2"/>
        <v>0</v>
      </c>
      <c r="K41">
        <f t="shared" si="2"/>
        <v>0</v>
      </c>
      <c r="L41">
        <f t="shared" si="2"/>
        <v>0</v>
      </c>
      <c r="M41">
        <f t="shared" si="2"/>
        <v>0</v>
      </c>
      <c r="N41">
        <f t="shared" si="2"/>
        <v>0</v>
      </c>
      <c r="O41">
        <f t="shared" si="2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4.5</v>
      </c>
      <c r="T41">
        <v>0</v>
      </c>
      <c r="U41">
        <v>0</v>
      </c>
      <c r="V41" s="5">
        <v>1</v>
      </c>
    </row>
    <row r="42" spans="1:22" x14ac:dyDescent="0.2">
      <c r="A42" t="s">
        <v>127</v>
      </c>
      <c r="B42" t="s">
        <v>70</v>
      </c>
      <c r="C42">
        <v>135</v>
      </c>
      <c r="D42">
        <v>138</v>
      </c>
      <c r="E42" s="1">
        <v>0.26800000000000002</v>
      </c>
      <c r="F42">
        <v>27</v>
      </c>
      <c r="G42" s="2">
        <v>13000000</v>
      </c>
      <c r="H42" s="7">
        <f t="shared" si="1"/>
        <v>45</v>
      </c>
      <c r="I42" t="s">
        <v>141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P42">
        <f t="shared" si="2"/>
        <v>1</v>
      </c>
      <c r="Q42">
        <f t="shared" si="3"/>
        <v>0</v>
      </c>
      <c r="R42">
        <f t="shared" si="4"/>
        <v>0</v>
      </c>
      <c r="S42">
        <v>1.9</v>
      </c>
      <c r="T42">
        <v>0</v>
      </c>
      <c r="U42">
        <v>0</v>
      </c>
      <c r="V42" s="5">
        <v>0</v>
      </c>
    </row>
    <row r="43" spans="1:22" x14ac:dyDescent="0.2">
      <c r="A43" t="s">
        <v>150</v>
      </c>
      <c r="B43" t="s">
        <v>89</v>
      </c>
      <c r="C43">
        <v>150</v>
      </c>
      <c r="D43">
        <v>164</v>
      </c>
      <c r="E43" s="1">
        <v>0.28100000000000003</v>
      </c>
      <c r="F43">
        <v>30</v>
      </c>
      <c r="G43" s="2">
        <v>24000000</v>
      </c>
      <c r="H43" s="7">
        <f t="shared" si="1"/>
        <v>21</v>
      </c>
      <c r="I43" t="s">
        <v>186</v>
      </c>
      <c r="J43">
        <f t="shared" si="2"/>
        <v>1</v>
      </c>
      <c r="K43">
        <f t="shared" si="2"/>
        <v>0</v>
      </c>
      <c r="L43">
        <f t="shared" si="2"/>
        <v>0</v>
      </c>
      <c r="M43">
        <f t="shared" si="2"/>
        <v>0</v>
      </c>
      <c r="N43">
        <f t="shared" si="2"/>
        <v>0</v>
      </c>
      <c r="O43">
        <f t="shared" si="2"/>
        <v>0</v>
      </c>
      <c r="P43">
        <f t="shared" si="2"/>
        <v>0</v>
      </c>
      <c r="Q43">
        <f t="shared" si="3"/>
        <v>0</v>
      </c>
      <c r="R43">
        <f t="shared" si="4"/>
        <v>0</v>
      </c>
      <c r="S43">
        <v>6</v>
      </c>
      <c r="T43">
        <v>0</v>
      </c>
      <c r="U43">
        <v>0</v>
      </c>
      <c r="V43" s="5">
        <v>0</v>
      </c>
    </row>
    <row r="44" spans="1:22" x14ac:dyDescent="0.2">
      <c r="A44" t="s">
        <v>23</v>
      </c>
      <c r="B44" t="s">
        <v>43</v>
      </c>
      <c r="C44">
        <v>130</v>
      </c>
      <c r="D44">
        <v>108</v>
      </c>
      <c r="E44" s="1">
        <v>0.23799999999999999</v>
      </c>
      <c r="F44">
        <v>22</v>
      </c>
      <c r="G44" s="2">
        <v>760000</v>
      </c>
      <c r="H44" s="7">
        <f t="shared" si="1"/>
        <v>98</v>
      </c>
      <c r="I44" t="s">
        <v>47</v>
      </c>
      <c r="J44">
        <f t="shared" si="2"/>
        <v>0</v>
      </c>
      <c r="K44">
        <f t="shared" si="2"/>
        <v>1</v>
      </c>
      <c r="L44">
        <f t="shared" si="2"/>
        <v>0</v>
      </c>
      <c r="M44">
        <f t="shared" si="2"/>
        <v>0</v>
      </c>
      <c r="N44">
        <f t="shared" si="2"/>
        <v>0</v>
      </c>
      <c r="O44">
        <f t="shared" si="2"/>
        <v>0</v>
      </c>
      <c r="P44">
        <f t="shared" si="2"/>
        <v>0</v>
      </c>
      <c r="Q44">
        <f t="shared" si="3"/>
        <v>0</v>
      </c>
      <c r="R44">
        <f t="shared" si="4"/>
        <v>0</v>
      </c>
      <c r="S44">
        <v>2.6</v>
      </c>
      <c r="T44">
        <v>0</v>
      </c>
      <c r="U44">
        <v>0</v>
      </c>
      <c r="V44" s="5">
        <v>0</v>
      </c>
    </row>
    <row r="45" spans="1:22" x14ac:dyDescent="0.2">
      <c r="A45" t="s">
        <v>101</v>
      </c>
      <c r="B45" t="s">
        <v>43</v>
      </c>
      <c r="C45">
        <v>158</v>
      </c>
      <c r="D45">
        <v>172</v>
      </c>
      <c r="E45" s="1">
        <v>0.27900000000000003</v>
      </c>
      <c r="F45">
        <v>29</v>
      </c>
      <c r="G45" s="2">
        <v>34100000</v>
      </c>
      <c r="H45" s="7">
        <f t="shared" si="1"/>
        <v>4</v>
      </c>
      <c r="I45" t="s">
        <v>121</v>
      </c>
      <c r="J45">
        <f t="shared" si="2"/>
        <v>0</v>
      </c>
      <c r="K45">
        <f t="shared" si="2"/>
        <v>0</v>
      </c>
      <c r="L45">
        <f t="shared" si="2"/>
        <v>0</v>
      </c>
      <c r="M45">
        <f t="shared" si="2"/>
        <v>0</v>
      </c>
      <c r="N45">
        <f t="shared" si="2"/>
        <v>0</v>
      </c>
      <c r="O45">
        <f t="shared" si="2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6.3</v>
      </c>
      <c r="T45">
        <v>0</v>
      </c>
      <c r="U45">
        <v>0</v>
      </c>
      <c r="V45" s="5">
        <v>0</v>
      </c>
    </row>
    <row r="46" spans="1:22" x14ac:dyDescent="0.2">
      <c r="A46" t="s">
        <v>48</v>
      </c>
      <c r="B46" t="s">
        <v>28</v>
      </c>
      <c r="C46">
        <v>156</v>
      </c>
      <c r="D46">
        <v>190</v>
      </c>
      <c r="E46" s="1">
        <v>0.30399999999999999</v>
      </c>
      <c r="F46">
        <v>28</v>
      </c>
      <c r="G46" s="2">
        <v>27000000</v>
      </c>
      <c r="H46" s="7">
        <f t="shared" si="1"/>
        <v>13</v>
      </c>
      <c r="I46" t="s">
        <v>76</v>
      </c>
      <c r="J46">
        <f t="shared" si="2"/>
        <v>0</v>
      </c>
      <c r="K46">
        <f t="shared" si="2"/>
        <v>0</v>
      </c>
      <c r="L46">
        <f t="shared" si="2"/>
        <v>1</v>
      </c>
      <c r="M46">
        <f t="shared" si="2"/>
        <v>0</v>
      </c>
      <c r="N46">
        <f t="shared" si="2"/>
        <v>0</v>
      </c>
      <c r="O46">
        <f t="shared" si="2"/>
        <v>0</v>
      </c>
      <c r="P46">
        <f t="shared" si="2"/>
        <v>0</v>
      </c>
      <c r="Q46">
        <f t="shared" si="3"/>
        <v>0</v>
      </c>
      <c r="R46">
        <f t="shared" si="4"/>
        <v>1</v>
      </c>
      <c r="S46">
        <v>5.5</v>
      </c>
      <c r="T46">
        <v>1</v>
      </c>
      <c r="U46">
        <v>0</v>
      </c>
      <c r="V46" s="5">
        <v>1</v>
      </c>
    </row>
    <row r="47" spans="1:22" x14ac:dyDescent="0.2">
      <c r="A47" t="s">
        <v>13</v>
      </c>
      <c r="B47" t="s">
        <v>33</v>
      </c>
      <c r="C47">
        <v>139</v>
      </c>
      <c r="D47">
        <v>147</v>
      </c>
      <c r="E47" s="1">
        <v>0.28499999999999998</v>
      </c>
      <c r="F47">
        <v>9</v>
      </c>
      <c r="G47" s="2">
        <v>760000</v>
      </c>
      <c r="H47" s="7">
        <f t="shared" si="1"/>
        <v>98</v>
      </c>
      <c r="I47" t="s">
        <v>47</v>
      </c>
      <c r="J47">
        <f t="shared" si="2"/>
        <v>0</v>
      </c>
      <c r="K47">
        <f t="shared" si="2"/>
        <v>1</v>
      </c>
      <c r="L47">
        <f t="shared" si="2"/>
        <v>0</v>
      </c>
      <c r="M47">
        <f t="shared" si="2"/>
        <v>0</v>
      </c>
      <c r="N47">
        <f t="shared" si="2"/>
        <v>0</v>
      </c>
      <c r="O47">
        <f t="shared" si="2"/>
        <v>0</v>
      </c>
      <c r="P47">
        <f t="shared" si="2"/>
        <v>0</v>
      </c>
      <c r="Q47">
        <f t="shared" si="3"/>
        <v>0</v>
      </c>
      <c r="R47">
        <f t="shared" si="4"/>
        <v>0</v>
      </c>
      <c r="S47">
        <v>3.6</v>
      </c>
      <c r="T47">
        <v>0</v>
      </c>
      <c r="U47">
        <v>0</v>
      </c>
      <c r="V47" s="5">
        <v>0</v>
      </c>
    </row>
    <row r="48" spans="1:22" x14ac:dyDescent="0.2">
      <c r="A48" t="s">
        <v>153</v>
      </c>
      <c r="B48" t="s">
        <v>37</v>
      </c>
      <c r="C48">
        <v>148</v>
      </c>
      <c r="D48">
        <v>152</v>
      </c>
      <c r="E48" s="1">
        <v>0.27</v>
      </c>
      <c r="F48">
        <v>23</v>
      </c>
      <c r="G48" s="2">
        <v>25000000</v>
      </c>
      <c r="H48" s="7">
        <f t="shared" si="1"/>
        <v>17</v>
      </c>
      <c r="I48" t="s">
        <v>186</v>
      </c>
      <c r="J48">
        <f t="shared" si="2"/>
        <v>1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2"/>
        <v>0</v>
      </c>
      <c r="P48">
        <f t="shared" si="2"/>
        <v>0</v>
      </c>
      <c r="Q48">
        <f t="shared" si="3"/>
        <v>0</v>
      </c>
      <c r="R48">
        <f t="shared" si="4"/>
        <v>0</v>
      </c>
      <c r="S48">
        <v>3.2</v>
      </c>
      <c r="T48">
        <v>0</v>
      </c>
      <c r="U48">
        <v>1</v>
      </c>
      <c r="V48" s="5">
        <v>0</v>
      </c>
    </row>
    <row r="49" spans="1:22" x14ac:dyDescent="0.2">
      <c r="A49" t="s">
        <v>125</v>
      </c>
      <c r="B49" t="s">
        <v>65</v>
      </c>
      <c r="C49">
        <v>140</v>
      </c>
      <c r="D49">
        <v>128</v>
      </c>
      <c r="E49" s="1">
        <v>0.246</v>
      </c>
      <c r="F49">
        <v>35</v>
      </c>
      <c r="G49" s="2">
        <v>32000000</v>
      </c>
      <c r="H49" s="7">
        <f t="shared" si="1"/>
        <v>7</v>
      </c>
      <c r="I49" t="s">
        <v>141</v>
      </c>
      <c r="J49">
        <f t="shared" si="2"/>
        <v>0</v>
      </c>
      <c r="K49">
        <f t="shared" si="2"/>
        <v>0</v>
      </c>
      <c r="L49">
        <f t="shared" si="2"/>
        <v>0</v>
      </c>
      <c r="M49">
        <f t="shared" si="2"/>
        <v>0</v>
      </c>
      <c r="N49">
        <f t="shared" si="2"/>
        <v>0</v>
      </c>
      <c r="O49">
        <f t="shared" si="2"/>
        <v>0</v>
      </c>
      <c r="P49">
        <f t="shared" si="2"/>
        <v>1</v>
      </c>
      <c r="Q49">
        <f t="shared" si="3"/>
        <v>0</v>
      </c>
      <c r="R49">
        <f t="shared" si="4"/>
        <v>0</v>
      </c>
      <c r="S49">
        <v>2.1</v>
      </c>
      <c r="T49">
        <v>0</v>
      </c>
      <c r="U49">
        <v>0</v>
      </c>
      <c r="V49" s="5">
        <v>0</v>
      </c>
    </row>
    <row r="50" spans="1:22" x14ac:dyDescent="0.2">
      <c r="A50" t="s">
        <v>80</v>
      </c>
      <c r="B50" t="s">
        <v>65</v>
      </c>
      <c r="C50">
        <v>146</v>
      </c>
      <c r="D50">
        <v>152</v>
      </c>
      <c r="E50" s="1">
        <v>0.26600000000000001</v>
      </c>
      <c r="F50">
        <v>25</v>
      </c>
      <c r="G50" s="2">
        <v>14900000</v>
      </c>
      <c r="H50" s="7">
        <f t="shared" si="1"/>
        <v>43</v>
      </c>
      <c r="I50" t="s">
        <v>100</v>
      </c>
      <c r="J50">
        <f t="shared" si="2"/>
        <v>0</v>
      </c>
      <c r="K50">
        <f t="shared" si="2"/>
        <v>0</v>
      </c>
      <c r="L50">
        <f t="shared" si="2"/>
        <v>0</v>
      </c>
      <c r="M50">
        <f t="shared" si="2"/>
        <v>1</v>
      </c>
      <c r="N50">
        <f t="shared" si="2"/>
        <v>0</v>
      </c>
      <c r="O50">
        <f t="shared" si="2"/>
        <v>0</v>
      </c>
      <c r="P50">
        <f t="shared" si="2"/>
        <v>0</v>
      </c>
      <c r="Q50">
        <f t="shared" si="3"/>
        <v>1</v>
      </c>
      <c r="R50">
        <f t="shared" si="4"/>
        <v>0</v>
      </c>
      <c r="S50">
        <v>3.2</v>
      </c>
      <c r="T50">
        <v>0</v>
      </c>
      <c r="U50">
        <v>0</v>
      </c>
      <c r="V50" s="5">
        <v>0</v>
      </c>
    </row>
    <row r="51" spans="1:22" x14ac:dyDescent="0.2">
      <c r="A51" t="s">
        <v>134</v>
      </c>
      <c r="B51" t="s">
        <v>83</v>
      </c>
      <c r="C51">
        <v>138</v>
      </c>
      <c r="D51">
        <v>144</v>
      </c>
      <c r="E51" s="1">
        <v>0.27800000000000002</v>
      </c>
      <c r="F51">
        <v>14</v>
      </c>
      <c r="G51" s="2">
        <v>2200000</v>
      </c>
      <c r="H51" s="7">
        <f t="shared" si="1"/>
        <v>94</v>
      </c>
      <c r="I51" t="s">
        <v>141</v>
      </c>
      <c r="J51">
        <f t="shared" si="2"/>
        <v>0</v>
      </c>
      <c r="K51">
        <f t="shared" si="2"/>
        <v>0</v>
      </c>
      <c r="L51">
        <f t="shared" si="2"/>
        <v>0</v>
      </c>
      <c r="M51">
        <f t="shared" si="2"/>
        <v>0</v>
      </c>
      <c r="N51">
        <f t="shared" si="2"/>
        <v>0</v>
      </c>
      <c r="O51">
        <f t="shared" si="2"/>
        <v>0</v>
      </c>
      <c r="P51">
        <f t="shared" si="2"/>
        <v>1</v>
      </c>
      <c r="Q51">
        <f t="shared" si="3"/>
        <v>0</v>
      </c>
      <c r="R51">
        <f t="shared" si="4"/>
        <v>0</v>
      </c>
      <c r="S51">
        <v>1.5</v>
      </c>
      <c r="T51">
        <v>0</v>
      </c>
      <c r="U51">
        <v>0</v>
      </c>
      <c r="V51" s="5">
        <v>0</v>
      </c>
    </row>
    <row r="52" spans="1:22" x14ac:dyDescent="0.2">
      <c r="A52" t="s">
        <v>180</v>
      </c>
      <c r="B52" t="s">
        <v>43</v>
      </c>
      <c r="C52">
        <v>120</v>
      </c>
      <c r="D52">
        <v>110</v>
      </c>
      <c r="E52" s="1">
        <v>0.252</v>
      </c>
      <c r="F52">
        <v>10</v>
      </c>
      <c r="G52" s="2">
        <v>4950000</v>
      </c>
      <c r="H52" s="7">
        <f t="shared" si="1"/>
        <v>84</v>
      </c>
      <c r="I52" t="s">
        <v>187</v>
      </c>
      <c r="J52">
        <f t="shared" si="2"/>
        <v>0</v>
      </c>
      <c r="K52">
        <f t="shared" si="2"/>
        <v>0</v>
      </c>
      <c r="L52">
        <f t="shared" ref="K52:P94" si="6">IF($I52=L$1,1,0)</f>
        <v>0</v>
      </c>
      <c r="M52">
        <f t="shared" si="6"/>
        <v>0</v>
      </c>
      <c r="N52">
        <f t="shared" si="6"/>
        <v>1</v>
      </c>
      <c r="O52">
        <f t="shared" si="6"/>
        <v>0</v>
      </c>
      <c r="P52">
        <f t="shared" si="6"/>
        <v>0</v>
      </c>
      <c r="Q52">
        <f t="shared" si="3"/>
        <v>0</v>
      </c>
      <c r="R52">
        <f t="shared" si="4"/>
        <v>1</v>
      </c>
      <c r="S52">
        <v>1.2</v>
      </c>
      <c r="T52">
        <v>0</v>
      </c>
      <c r="U52">
        <v>0</v>
      </c>
      <c r="V52" s="5">
        <v>0</v>
      </c>
    </row>
    <row r="53" spans="1:22" x14ac:dyDescent="0.2">
      <c r="A53" t="s">
        <v>97</v>
      </c>
      <c r="B53" t="s">
        <v>89</v>
      </c>
      <c r="C53">
        <v>148</v>
      </c>
      <c r="D53">
        <v>146</v>
      </c>
      <c r="E53" s="1">
        <v>0.26800000000000002</v>
      </c>
      <c r="F53">
        <v>19</v>
      </c>
      <c r="G53" s="2">
        <v>8000000</v>
      </c>
      <c r="H53" s="7">
        <f t="shared" si="1"/>
        <v>73</v>
      </c>
      <c r="I53" t="s">
        <v>121</v>
      </c>
      <c r="J53">
        <f t="shared" ref="J53:P116" si="7">IF($I53=J$1,1,0)</f>
        <v>0</v>
      </c>
      <c r="K53">
        <f t="shared" si="6"/>
        <v>0</v>
      </c>
      <c r="L53">
        <f t="shared" si="6"/>
        <v>0</v>
      </c>
      <c r="M53">
        <f t="shared" si="6"/>
        <v>0</v>
      </c>
      <c r="N53">
        <f t="shared" si="6"/>
        <v>0</v>
      </c>
      <c r="O53">
        <f t="shared" si="6"/>
        <v>1</v>
      </c>
      <c r="P53">
        <f t="shared" si="6"/>
        <v>0</v>
      </c>
      <c r="Q53">
        <f t="shared" si="3"/>
        <v>1</v>
      </c>
      <c r="R53">
        <f t="shared" si="4"/>
        <v>0</v>
      </c>
      <c r="S53">
        <v>3.6</v>
      </c>
      <c r="T53">
        <v>0</v>
      </c>
      <c r="U53">
        <v>0</v>
      </c>
      <c r="V53" s="5">
        <v>0</v>
      </c>
    </row>
    <row r="54" spans="1:22" x14ac:dyDescent="0.2">
      <c r="A54" t="s">
        <v>20</v>
      </c>
      <c r="B54" t="s">
        <v>40</v>
      </c>
      <c r="C54">
        <v>138</v>
      </c>
      <c r="D54">
        <v>124</v>
      </c>
      <c r="E54" s="1">
        <v>0.24199999999999999</v>
      </c>
      <c r="F54">
        <v>18</v>
      </c>
      <c r="G54" s="2">
        <v>760000</v>
      </c>
      <c r="H54" s="7">
        <f t="shared" si="1"/>
        <v>98</v>
      </c>
      <c r="I54" t="s">
        <v>47</v>
      </c>
      <c r="J54">
        <f t="shared" si="7"/>
        <v>0</v>
      </c>
      <c r="K54">
        <f t="shared" si="6"/>
        <v>1</v>
      </c>
      <c r="L54">
        <f t="shared" si="6"/>
        <v>0</v>
      </c>
      <c r="M54">
        <f t="shared" si="6"/>
        <v>0</v>
      </c>
      <c r="N54">
        <f t="shared" si="6"/>
        <v>0</v>
      </c>
      <c r="O54">
        <f t="shared" si="6"/>
        <v>0</v>
      </c>
      <c r="P54">
        <f t="shared" si="6"/>
        <v>0</v>
      </c>
      <c r="Q54">
        <f t="shared" si="3"/>
        <v>0</v>
      </c>
      <c r="R54">
        <f t="shared" si="4"/>
        <v>0</v>
      </c>
      <c r="S54">
        <v>2.2000000000000002</v>
      </c>
      <c r="T54">
        <v>0</v>
      </c>
      <c r="U54">
        <v>1</v>
      </c>
      <c r="V54" s="5">
        <v>0</v>
      </c>
    </row>
    <row r="55" spans="1:22" x14ac:dyDescent="0.2">
      <c r="A55" t="s">
        <v>166</v>
      </c>
      <c r="B55" t="s">
        <v>38</v>
      </c>
      <c r="C55">
        <v>140</v>
      </c>
      <c r="D55">
        <v>134</v>
      </c>
      <c r="E55" s="1">
        <v>0.25800000000000001</v>
      </c>
      <c r="F55">
        <v>19</v>
      </c>
      <c r="G55" s="2">
        <v>760000</v>
      </c>
      <c r="H55" s="7">
        <f t="shared" si="1"/>
        <v>98</v>
      </c>
      <c r="I55" t="s">
        <v>186</v>
      </c>
      <c r="J55">
        <f t="shared" si="7"/>
        <v>1</v>
      </c>
      <c r="K55">
        <f t="shared" si="6"/>
        <v>0</v>
      </c>
      <c r="L55">
        <f t="shared" si="6"/>
        <v>0</v>
      </c>
      <c r="M55">
        <f t="shared" si="6"/>
        <v>0</v>
      </c>
      <c r="N55">
        <f t="shared" si="6"/>
        <v>0</v>
      </c>
      <c r="O55">
        <f t="shared" si="6"/>
        <v>0</v>
      </c>
      <c r="P55">
        <f t="shared" si="6"/>
        <v>0</v>
      </c>
      <c r="Q55">
        <f t="shared" si="3"/>
        <v>0</v>
      </c>
      <c r="R55">
        <f t="shared" si="4"/>
        <v>0</v>
      </c>
      <c r="S55">
        <v>1.7</v>
      </c>
      <c r="T55">
        <v>0</v>
      </c>
      <c r="U55">
        <v>0</v>
      </c>
      <c r="V55" s="5">
        <v>0</v>
      </c>
    </row>
    <row r="56" spans="1:22" x14ac:dyDescent="0.2">
      <c r="A56" t="s">
        <v>136</v>
      </c>
      <c r="B56" t="s">
        <v>29</v>
      </c>
      <c r="C56">
        <v>136</v>
      </c>
      <c r="D56">
        <v>132</v>
      </c>
      <c r="E56" s="1">
        <v>0.25900000000000001</v>
      </c>
      <c r="F56">
        <v>23</v>
      </c>
      <c r="G56" s="2">
        <v>8200000</v>
      </c>
      <c r="H56" s="7">
        <f t="shared" si="1"/>
        <v>72</v>
      </c>
      <c r="I56" t="s">
        <v>187</v>
      </c>
      <c r="J56">
        <f t="shared" si="7"/>
        <v>0</v>
      </c>
      <c r="K56">
        <f t="shared" si="6"/>
        <v>0</v>
      </c>
      <c r="L56">
        <f t="shared" si="6"/>
        <v>0</v>
      </c>
      <c r="M56">
        <f t="shared" si="6"/>
        <v>0</v>
      </c>
      <c r="N56">
        <f t="shared" si="6"/>
        <v>1</v>
      </c>
      <c r="O56">
        <f t="shared" si="6"/>
        <v>0</v>
      </c>
      <c r="P56">
        <f t="shared" si="6"/>
        <v>0</v>
      </c>
      <c r="Q56">
        <f t="shared" si="3"/>
        <v>0</v>
      </c>
      <c r="R56">
        <f t="shared" si="4"/>
        <v>1</v>
      </c>
      <c r="S56">
        <v>1.8</v>
      </c>
      <c r="T56">
        <v>0</v>
      </c>
      <c r="U56">
        <v>0</v>
      </c>
      <c r="V56" s="5">
        <v>0</v>
      </c>
    </row>
    <row r="57" spans="1:22" x14ac:dyDescent="0.2">
      <c r="A57" t="s">
        <v>161</v>
      </c>
      <c r="B57" t="s">
        <v>86</v>
      </c>
      <c r="C57">
        <v>148</v>
      </c>
      <c r="D57">
        <v>149</v>
      </c>
      <c r="E57" s="1">
        <v>0.26600000000000001</v>
      </c>
      <c r="F57">
        <v>20</v>
      </c>
      <c r="G57" s="2">
        <v>20000000</v>
      </c>
      <c r="H57" s="7">
        <f t="shared" si="1"/>
        <v>26</v>
      </c>
      <c r="I57" t="s">
        <v>186</v>
      </c>
      <c r="J57">
        <f t="shared" si="7"/>
        <v>1</v>
      </c>
      <c r="K57">
        <f t="shared" si="6"/>
        <v>0</v>
      </c>
      <c r="L57">
        <f t="shared" si="6"/>
        <v>0</v>
      </c>
      <c r="M57">
        <f t="shared" si="6"/>
        <v>0</v>
      </c>
      <c r="N57">
        <f t="shared" si="6"/>
        <v>0</v>
      </c>
      <c r="O57">
        <f t="shared" si="6"/>
        <v>0</v>
      </c>
      <c r="P57">
        <f t="shared" si="6"/>
        <v>0</v>
      </c>
      <c r="Q57">
        <f t="shared" si="3"/>
        <v>0</v>
      </c>
      <c r="R57">
        <f t="shared" si="4"/>
        <v>0</v>
      </c>
      <c r="S57">
        <v>3</v>
      </c>
      <c r="T57">
        <v>0</v>
      </c>
      <c r="U57">
        <v>0</v>
      </c>
      <c r="V57" s="5">
        <v>0</v>
      </c>
    </row>
    <row r="58" spans="1:22" x14ac:dyDescent="0.2">
      <c r="A58" t="s">
        <v>126</v>
      </c>
      <c r="B58" t="s">
        <v>43</v>
      </c>
      <c r="C58">
        <v>142</v>
      </c>
      <c r="D58">
        <v>150</v>
      </c>
      <c r="E58" s="1">
        <v>0.27200000000000002</v>
      </c>
      <c r="F58">
        <v>33</v>
      </c>
      <c r="G58" s="2">
        <v>12000000</v>
      </c>
      <c r="H58" s="7">
        <f t="shared" si="1"/>
        <v>50</v>
      </c>
      <c r="I58" t="s">
        <v>141</v>
      </c>
      <c r="J58">
        <f t="shared" si="7"/>
        <v>0</v>
      </c>
      <c r="K58">
        <f t="shared" si="6"/>
        <v>0</v>
      </c>
      <c r="L58">
        <f t="shared" si="6"/>
        <v>0</v>
      </c>
      <c r="M58">
        <f t="shared" si="6"/>
        <v>0</v>
      </c>
      <c r="N58">
        <f t="shared" si="6"/>
        <v>0</v>
      </c>
      <c r="O58">
        <f t="shared" si="6"/>
        <v>0</v>
      </c>
      <c r="P58">
        <f t="shared" si="6"/>
        <v>1</v>
      </c>
      <c r="Q58">
        <f t="shared" si="3"/>
        <v>0</v>
      </c>
      <c r="R58">
        <f t="shared" si="4"/>
        <v>0</v>
      </c>
      <c r="S58">
        <v>2.8</v>
      </c>
      <c r="T58">
        <v>0</v>
      </c>
      <c r="U58">
        <v>0</v>
      </c>
      <c r="V58" s="5">
        <v>0</v>
      </c>
    </row>
    <row r="59" spans="1:22" x14ac:dyDescent="0.2">
      <c r="A59" t="s">
        <v>115</v>
      </c>
      <c r="B59" t="s">
        <v>30</v>
      </c>
      <c r="C59">
        <v>147</v>
      </c>
      <c r="D59">
        <v>144</v>
      </c>
      <c r="E59" s="1">
        <v>0.26</v>
      </c>
      <c r="F59">
        <v>17</v>
      </c>
      <c r="G59" s="2">
        <v>11500000</v>
      </c>
      <c r="H59" s="7">
        <f t="shared" si="1"/>
        <v>56</v>
      </c>
      <c r="I59" t="s">
        <v>121</v>
      </c>
      <c r="J59">
        <f t="shared" si="7"/>
        <v>0</v>
      </c>
      <c r="K59">
        <f t="shared" si="6"/>
        <v>0</v>
      </c>
      <c r="L59">
        <f t="shared" si="6"/>
        <v>0</v>
      </c>
      <c r="M59">
        <f t="shared" si="6"/>
        <v>0</v>
      </c>
      <c r="N59">
        <f t="shared" si="6"/>
        <v>0</v>
      </c>
      <c r="O59">
        <f t="shared" si="6"/>
        <v>1</v>
      </c>
      <c r="P59">
        <f t="shared" si="6"/>
        <v>0</v>
      </c>
      <c r="Q59">
        <f t="shared" si="3"/>
        <v>1</v>
      </c>
      <c r="R59">
        <f t="shared" si="4"/>
        <v>0</v>
      </c>
      <c r="S59">
        <v>3.1</v>
      </c>
      <c r="T59">
        <v>0</v>
      </c>
      <c r="U59">
        <v>0</v>
      </c>
      <c r="V59" s="5">
        <v>0</v>
      </c>
    </row>
    <row r="60" spans="1:22" x14ac:dyDescent="0.2">
      <c r="A60" t="s">
        <v>7</v>
      </c>
      <c r="B60" t="s">
        <v>27</v>
      </c>
      <c r="C60">
        <v>128</v>
      </c>
      <c r="D60">
        <v>120</v>
      </c>
      <c r="E60" s="1">
        <v>0.25700000000000001</v>
      </c>
      <c r="F60">
        <v>12</v>
      </c>
      <c r="G60" s="2">
        <v>23100000</v>
      </c>
      <c r="H60" s="7">
        <f t="shared" si="1"/>
        <v>22</v>
      </c>
      <c r="I60" t="s">
        <v>47</v>
      </c>
      <c r="J60">
        <f t="shared" si="7"/>
        <v>0</v>
      </c>
      <c r="K60">
        <f t="shared" si="6"/>
        <v>1</v>
      </c>
      <c r="L60">
        <f t="shared" si="6"/>
        <v>0</v>
      </c>
      <c r="M60">
        <f t="shared" si="6"/>
        <v>0</v>
      </c>
      <c r="N60">
        <f t="shared" si="6"/>
        <v>0</v>
      </c>
      <c r="O60">
        <f t="shared" si="6"/>
        <v>0</v>
      </c>
      <c r="P60">
        <f t="shared" si="6"/>
        <v>0</v>
      </c>
      <c r="Q60">
        <f t="shared" si="3"/>
        <v>0</v>
      </c>
      <c r="R60">
        <f t="shared" si="4"/>
        <v>0</v>
      </c>
      <c r="S60">
        <v>3.4</v>
      </c>
      <c r="T60">
        <v>0</v>
      </c>
      <c r="U60">
        <v>0</v>
      </c>
      <c r="V60" s="5">
        <v>0</v>
      </c>
    </row>
    <row r="61" spans="1:22" x14ac:dyDescent="0.2">
      <c r="A61" t="s">
        <v>167</v>
      </c>
      <c r="B61" t="s">
        <v>40</v>
      </c>
      <c r="C61">
        <v>145</v>
      </c>
      <c r="D61">
        <v>136</v>
      </c>
      <c r="E61" s="1">
        <v>0.251</v>
      </c>
      <c r="F61">
        <v>26</v>
      </c>
      <c r="G61" s="2">
        <v>760000</v>
      </c>
      <c r="H61" s="7">
        <f t="shared" si="1"/>
        <v>98</v>
      </c>
      <c r="I61" t="s">
        <v>186</v>
      </c>
      <c r="J61">
        <f t="shared" si="7"/>
        <v>1</v>
      </c>
      <c r="K61">
        <f t="shared" si="6"/>
        <v>0</v>
      </c>
      <c r="L61">
        <f t="shared" si="6"/>
        <v>0</v>
      </c>
      <c r="M61">
        <f t="shared" si="6"/>
        <v>0</v>
      </c>
      <c r="N61">
        <f t="shared" si="6"/>
        <v>0</v>
      </c>
      <c r="O61">
        <f t="shared" si="6"/>
        <v>0</v>
      </c>
      <c r="P61">
        <f t="shared" si="6"/>
        <v>0</v>
      </c>
      <c r="Q61">
        <f t="shared" si="3"/>
        <v>0</v>
      </c>
      <c r="R61">
        <f t="shared" si="4"/>
        <v>0</v>
      </c>
      <c r="S61">
        <v>2.2999999999999998</v>
      </c>
      <c r="T61">
        <v>0</v>
      </c>
      <c r="U61">
        <v>0</v>
      </c>
      <c r="V61" s="5">
        <v>0</v>
      </c>
    </row>
    <row r="62" spans="1:22" x14ac:dyDescent="0.2">
      <c r="A62" t="s">
        <v>91</v>
      </c>
      <c r="B62" t="s">
        <v>89</v>
      </c>
      <c r="C62">
        <v>147</v>
      </c>
      <c r="D62">
        <v>145</v>
      </c>
      <c r="E62" s="1">
        <v>0.26300000000000001</v>
      </c>
      <c r="F62">
        <v>13</v>
      </c>
      <c r="G62" s="2">
        <v>11500000</v>
      </c>
      <c r="H62" s="7">
        <f t="shared" si="1"/>
        <v>56</v>
      </c>
      <c r="I62" t="s">
        <v>100</v>
      </c>
      <c r="J62">
        <f t="shared" si="7"/>
        <v>0</v>
      </c>
      <c r="K62">
        <f t="shared" si="6"/>
        <v>0</v>
      </c>
      <c r="L62">
        <f t="shared" si="6"/>
        <v>0</v>
      </c>
      <c r="M62">
        <f t="shared" si="6"/>
        <v>1</v>
      </c>
      <c r="N62">
        <f t="shared" si="6"/>
        <v>0</v>
      </c>
      <c r="O62">
        <f t="shared" si="6"/>
        <v>0</v>
      </c>
      <c r="P62">
        <f t="shared" si="6"/>
        <v>0</v>
      </c>
      <c r="Q62">
        <f t="shared" si="3"/>
        <v>1</v>
      </c>
      <c r="R62">
        <f t="shared" si="4"/>
        <v>0</v>
      </c>
      <c r="S62">
        <v>2.8</v>
      </c>
      <c r="T62">
        <v>0</v>
      </c>
      <c r="U62">
        <v>0</v>
      </c>
      <c r="V62" s="5">
        <v>0</v>
      </c>
    </row>
    <row r="63" spans="1:22" x14ac:dyDescent="0.2">
      <c r="A63" t="s">
        <v>171</v>
      </c>
      <c r="B63" t="s">
        <v>41</v>
      </c>
      <c r="C63">
        <v>140</v>
      </c>
      <c r="D63">
        <v>138</v>
      </c>
      <c r="E63" s="1">
        <v>0.26200000000000001</v>
      </c>
      <c r="F63">
        <v>18</v>
      </c>
      <c r="G63" s="2">
        <v>760000</v>
      </c>
      <c r="H63" s="7">
        <f t="shared" si="1"/>
        <v>98</v>
      </c>
      <c r="I63" t="s">
        <v>186</v>
      </c>
      <c r="J63">
        <f t="shared" si="7"/>
        <v>1</v>
      </c>
      <c r="K63">
        <f t="shared" si="6"/>
        <v>0</v>
      </c>
      <c r="L63">
        <f t="shared" si="6"/>
        <v>0</v>
      </c>
      <c r="M63">
        <f t="shared" si="6"/>
        <v>0</v>
      </c>
      <c r="N63">
        <f t="shared" si="6"/>
        <v>0</v>
      </c>
      <c r="O63">
        <f t="shared" si="6"/>
        <v>0</v>
      </c>
      <c r="P63">
        <f t="shared" si="6"/>
        <v>0</v>
      </c>
      <c r="Q63">
        <f t="shared" si="3"/>
        <v>0</v>
      </c>
      <c r="R63">
        <f t="shared" si="4"/>
        <v>0</v>
      </c>
      <c r="S63">
        <v>2.1</v>
      </c>
      <c r="T63">
        <v>0</v>
      </c>
      <c r="U63">
        <v>0</v>
      </c>
      <c r="V63" s="5">
        <v>0</v>
      </c>
    </row>
    <row r="64" spans="1:22" x14ac:dyDescent="0.2">
      <c r="A64" t="s">
        <v>185</v>
      </c>
      <c r="B64" t="s">
        <v>28</v>
      </c>
      <c r="C64">
        <v>120</v>
      </c>
      <c r="D64">
        <v>114</v>
      </c>
      <c r="E64" s="1">
        <v>0.255</v>
      </c>
      <c r="F64">
        <v>11</v>
      </c>
      <c r="G64" s="2">
        <v>9000000</v>
      </c>
      <c r="H64" s="7">
        <f t="shared" si="1"/>
        <v>67</v>
      </c>
      <c r="I64" t="s">
        <v>186</v>
      </c>
      <c r="J64">
        <f t="shared" si="7"/>
        <v>1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0</v>
      </c>
      <c r="O64">
        <f t="shared" si="6"/>
        <v>0</v>
      </c>
      <c r="P64">
        <f t="shared" si="6"/>
        <v>0</v>
      </c>
      <c r="Q64">
        <f t="shared" si="3"/>
        <v>0</v>
      </c>
      <c r="R64">
        <f t="shared" si="4"/>
        <v>0</v>
      </c>
      <c r="S64">
        <v>1.1000000000000001</v>
      </c>
      <c r="T64">
        <v>0</v>
      </c>
      <c r="U64">
        <v>0</v>
      </c>
      <c r="V64" s="5">
        <v>0</v>
      </c>
    </row>
    <row r="65" spans="1:22" x14ac:dyDescent="0.2">
      <c r="A65" t="s">
        <v>90</v>
      </c>
      <c r="B65" t="s">
        <v>43</v>
      </c>
      <c r="C65">
        <v>140</v>
      </c>
      <c r="D65">
        <v>142</v>
      </c>
      <c r="E65" s="1">
        <v>0.26700000000000002</v>
      </c>
      <c r="F65">
        <v>11</v>
      </c>
      <c r="G65" s="2">
        <v>12500000</v>
      </c>
      <c r="H65" s="7">
        <f t="shared" si="1"/>
        <v>49</v>
      </c>
      <c r="I65" t="s">
        <v>100</v>
      </c>
      <c r="J65">
        <f t="shared" si="7"/>
        <v>0</v>
      </c>
      <c r="K65">
        <f t="shared" si="6"/>
        <v>0</v>
      </c>
      <c r="L65">
        <f t="shared" si="6"/>
        <v>0</v>
      </c>
      <c r="M65">
        <f t="shared" si="6"/>
        <v>1</v>
      </c>
      <c r="N65">
        <f t="shared" si="6"/>
        <v>0</v>
      </c>
      <c r="O65">
        <f t="shared" si="6"/>
        <v>0</v>
      </c>
      <c r="P65">
        <f t="shared" si="6"/>
        <v>0</v>
      </c>
      <c r="Q65">
        <f t="shared" si="3"/>
        <v>1</v>
      </c>
      <c r="R65">
        <f t="shared" si="4"/>
        <v>0</v>
      </c>
      <c r="S65">
        <v>2.7</v>
      </c>
      <c r="T65">
        <v>0</v>
      </c>
      <c r="U65">
        <v>0</v>
      </c>
      <c r="V65" s="5">
        <v>0</v>
      </c>
    </row>
    <row r="66" spans="1:22" x14ac:dyDescent="0.2">
      <c r="A66" t="s">
        <v>111</v>
      </c>
      <c r="B66" t="s">
        <v>36</v>
      </c>
      <c r="C66">
        <v>153</v>
      </c>
      <c r="D66">
        <v>160</v>
      </c>
      <c r="E66" s="1">
        <v>0.26800000000000002</v>
      </c>
      <c r="F66">
        <v>19</v>
      </c>
      <c r="G66" s="2">
        <v>760000</v>
      </c>
      <c r="H66" s="7">
        <f t="shared" si="1"/>
        <v>98</v>
      </c>
      <c r="I66" t="s">
        <v>121</v>
      </c>
      <c r="J66">
        <f t="shared" si="7"/>
        <v>0</v>
      </c>
      <c r="K66">
        <f t="shared" si="6"/>
        <v>0</v>
      </c>
      <c r="L66">
        <f t="shared" si="6"/>
        <v>0</v>
      </c>
      <c r="M66">
        <f t="shared" si="6"/>
        <v>0</v>
      </c>
      <c r="N66">
        <f t="shared" si="6"/>
        <v>0</v>
      </c>
      <c r="O66">
        <f t="shared" si="6"/>
        <v>1</v>
      </c>
      <c r="P66">
        <f t="shared" si="6"/>
        <v>0</v>
      </c>
      <c r="Q66">
        <f t="shared" si="3"/>
        <v>1</v>
      </c>
      <c r="R66">
        <f t="shared" si="4"/>
        <v>0</v>
      </c>
      <c r="S66">
        <v>3.5</v>
      </c>
      <c r="T66">
        <v>0</v>
      </c>
      <c r="U66">
        <v>0</v>
      </c>
      <c r="V66" s="5">
        <v>0</v>
      </c>
    </row>
    <row r="67" spans="1:22" x14ac:dyDescent="0.2">
      <c r="A67" t="s">
        <v>139</v>
      </c>
      <c r="B67" t="s">
        <v>30</v>
      </c>
      <c r="C67">
        <v>128</v>
      </c>
      <c r="D67">
        <v>122</v>
      </c>
      <c r="E67" s="1">
        <v>0.255</v>
      </c>
      <c r="F67">
        <v>18</v>
      </c>
      <c r="G67" s="2">
        <v>8000000</v>
      </c>
      <c r="H67" s="7">
        <f t="shared" ref="H67:H130" si="8">_xlfn.RANK.EQ(G67,$G$2:$G$141,0)</f>
        <v>73</v>
      </c>
      <c r="I67" t="s">
        <v>141</v>
      </c>
      <c r="J67">
        <f t="shared" si="7"/>
        <v>0</v>
      </c>
      <c r="K67">
        <f t="shared" si="6"/>
        <v>0</v>
      </c>
      <c r="L67">
        <f t="shared" si="6"/>
        <v>0</v>
      </c>
      <c r="M67">
        <f t="shared" si="6"/>
        <v>0</v>
      </c>
      <c r="N67">
        <f t="shared" si="6"/>
        <v>0</v>
      </c>
      <c r="O67">
        <f t="shared" si="6"/>
        <v>0</v>
      </c>
      <c r="P67">
        <f t="shared" si="6"/>
        <v>1</v>
      </c>
      <c r="Q67">
        <f t="shared" ref="Q67:Q130" si="9">IF(OR(I67=O$1,I67=M$1),1,0)</f>
        <v>0</v>
      </c>
      <c r="R67">
        <f t="shared" ref="R67:R130" si="10">IF(OR(I67=N$1,I67=L$1),1,0)</f>
        <v>0</v>
      </c>
      <c r="S67">
        <v>1.3</v>
      </c>
      <c r="T67">
        <v>0</v>
      </c>
      <c r="U67">
        <v>0</v>
      </c>
      <c r="V67" s="5">
        <v>0</v>
      </c>
    </row>
    <row r="68" spans="1:22" x14ac:dyDescent="0.2">
      <c r="A68" t="s">
        <v>164</v>
      </c>
      <c r="B68" t="s">
        <v>165</v>
      </c>
      <c r="C68">
        <v>138</v>
      </c>
      <c r="D68">
        <v>122</v>
      </c>
      <c r="E68" s="1">
        <v>0.23499999999999999</v>
      </c>
      <c r="F68">
        <v>28</v>
      </c>
      <c r="G68" s="2">
        <v>11000000</v>
      </c>
      <c r="H68" s="7">
        <f t="shared" si="8"/>
        <v>61</v>
      </c>
      <c r="I68" t="s">
        <v>186</v>
      </c>
      <c r="J68">
        <f t="shared" si="7"/>
        <v>1</v>
      </c>
      <c r="K68">
        <f t="shared" si="6"/>
        <v>0</v>
      </c>
      <c r="L68">
        <f t="shared" si="6"/>
        <v>0</v>
      </c>
      <c r="M68">
        <f t="shared" si="6"/>
        <v>0</v>
      </c>
      <c r="N68">
        <f t="shared" si="6"/>
        <v>0</v>
      </c>
      <c r="O68">
        <f t="shared" si="6"/>
        <v>0</v>
      </c>
      <c r="P68">
        <f t="shared" si="6"/>
        <v>0</v>
      </c>
      <c r="Q68">
        <f t="shared" si="9"/>
        <v>0</v>
      </c>
      <c r="R68">
        <f t="shared" si="10"/>
        <v>0</v>
      </c>
      <c r="S68">
        <v>2</v>
      </c>
      <c r="T68">
        <v>0</v>
      </c>
      <c r="U68">
        <v>0</v>
      </c>
      <c r="V68" s="5">
        <v>0</v>
      </c>
    </row>
    <row r="69" spans="1:22" x14ac:dyDescent="0.2">
      <c r="A69" t="s">
        <v>131</v>
      </c>
      <c r="B69" t="s">
        <v>35</v>
      </c>
      <c r="C69">
        <v>145</v>
      </c>
      <c r="D69">
        <v>150</v>
      </c>
      <c r="E69" s="1">
        <v>0.27</v>
      </c>
      <c r="F69">
        <v>20</v>
      </c>
      <c r="G69" s="2">
        <v>760000</v>
      </c>
      <c r="H69" s="7">
        <f t="shared" si="8"/>
        <v>98</v>
      </c>
      <c r="I69" t="s">
        <v>141</v>
      </c>
      <c r="J69">
        <f t="shared" si="7"/>
        <v>0</v>
      </c>
      <c r="K69">
        <f t="shared" si="6"/>
        <v>0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0</v>
      </c>
      <c r="P69">
        <f t="shared" si="6"/>
        <v>1</v>
      </c>
      <c r="Q69">
        <f t="shared" si="9"/>
        <v>0</v>
      </c>
      <c r="R69">
        <f t="shared" si="10"/>
        <v>0</v>
      </c>
      <c r="S69">
        <v>1.4</v>
      </c>
      <c r="T69">
        <v>0</v>
      </c>
      <c r="U69">
        <v>0</v>
      </c>
      <c r="V69" s="5">
        <v>0</v>
      </c>
    </row>
    <row r="70" spans="1:22" x14ac:dyDescent="0.2">
      <c r="A70" t="s">
        <v>14</v>
      </c>
      <c r="B70" t="s">
        <v>34</v>
      </c>
      <c r="C70">
        <v>135</v>
      </c>
      <c r="D70">
        <v>110</v>
      </c>
      <c r="E70" s="1">
        <v>0.21299999999999999</v>
      </c>
      <c r="F70">
        <v>11</v>
      </c>
      <c r="G70" s="2">
        <v>760000</v>
      </c>
      <c r="H70" s="7">
        <f t="shared" si="8"/>
        <v>98</v>
      </c>
      <c r="I70" t="s">
        <v>47</v>
      </c>
      <c r="J70">
        <f t="shared" si="7"/>
        <v>0</v>
      </c>
      <c r="K70">
        <f t="shared" si="6"/>
        <v>1</v>
      </c>
      <c r="L70">
        <f t="shared" si="6"/>
        <v>0</v>
      </c>
      <c r="M70">
        <f t="shared" si="6"/>
        <v>0</v>
      </c>
      <c r="N70">
        <f t="shared" si="6"/>
        <v>0</v>
      </c>
      <c r="O70">
        <f t="shared" si="6"/>
        <v>0</v>
      </c>
      <c r="P70">
        <f t="shared" si="6"/>
        <v>0</v>
      </c>
      <c r="Q70">
        <f t="shared" si="9"/>
        <v>0</v>
      </c>
      <c r="R70">
        <f t="shared" si="10"/>
        <v>0</v>
      </c>
      <c r="S70">
        <v>2.5</v>
      </c>
      <c r="T70">
        <v>0</v>
      </c>
      <c r="U70">
        <v>0</v>
      </c>
      <c r="V70" s="5">
        <v>0</v>
      </c>
    </row>
    <row r="71" spans="1:22" x14ac:dyDescent="0.2">
      <c r="A71" t="s">
        <v>84</v>
      </c>
      <c r="B71" t="s">
        <v>42</v>
      </c>
      <c r="C71">
        <v>142</v>
      </c>
      <c r="D71">
        <v>138</v>
      </c>
      <c r="E71" s="1">
        <v>0.26</v>
      </c>
      <c r="F71">
        <v>18</v>
      </c>
      <c r="G71" s="2">
        <v>760000</v>
      </c>
      <c r="H71" s="7">
        <f t="shared" si="8"/>
        <v>98</v>
      </c>
      <c r="I71" t="s">
        <v>100</v>
      </c>
      <c r="J71">
        <f t="shared" si="7"/>
        <v>0</v>
      </c>
      <c r="K71">
        <f t="shared" si="6"/>
        <v>0</v>
      </c>
      <c r="L71">
        <f t="shared" si="6"/>
        <v>0</v>
      </c>
      <c r="M71">
        <f t="shared" si="6"/>
        <v>1</v>
      </c>
      <c r="N71">
        <f t="shared" si="6"/>
        <v>0</v>
      </c>
      <c r="O71">
        <f t="shared" si="6"/>
        <v>0</v>
      </c>
      <c r="P71">
        <f t="shared" si="6"/>
        <v>0</v>
      </c>
      <c r="Q71">
        <f t="shared" si="9"/>
        <v>1</v>
      </c>
      <c r="R71">
        <f t="shared" si="10"/>
        <v>0</v>
      </c>
      <c r="S71">
        <v>2.1</v>
      </c>
      <c r="T71">
        <v>0</v>
      </c>
      <c r="U71">
        <v>0</v>
      </c>
      <c r="V71" s="5">
        <v>0</v>
      </c>
    </row>
    <row r="72" spans="1:22" x14ac:dyDescent="0.2">
      <c r="A72" t="s">
        <v>75</v>
      </c>
      <c r="B72" t="s">
        <v>36</v>
      </c>
      <c r="C72">
        <v>120</v>
      </c>
      <c r="D72">
        <v>108</v>
      </c>
      <c r="E72" s="1">
        <v>0.24</v>
      </c>
      <c r="F72">
        <v>18</v>
      </c>
      <c r="G72" s="2">
        <v>19000000</v>
      </c>
      <c r="H72" s="7">
        <f t="shared" si="8"/>
        <v>34</v>
      </c>
      <c r="I72" t="s">
        <v>76</v>
      </c>
      <c r="J72">
        <f t="shared" si="7"/>
        <v>0</v>
      </c>
      <c r="K72">
        <f t="shared" si="6"/>
        <v>0</v>
      </c>
      <c r="L72">
        <f t="shared" si="6"/>
        <v>1</v>
      </c>
      <c r="M72">
        <f t="shared" si="6"/>
        <v>0</v>
      </c>
      <c r="N72">
        <f t="shared" si="6"/>
        <v>0</v>
      </c>
      <c r="O72">
        <f t="shared" si="6"/>
        <v>0</v>
      </c>
      <c r="P72">
        <f t="shared" si="6"/>
        <v>0</v>
      </c>
      <c r="Q72">
        <f t="shared" si="9"/>
        <v>0</v>
      </c>
      <c r="R72">
        <f t="shared" si="10"/>
        <v>1</v>
      </c>
      <c r="S72">
        <v>0.9</v>
      </c>
      <c r="T72">
        <v>0</v>
      </c>
      <c r="U72">
        <v>0</v>
      </c>
      <c r="V72" s="5">
        <v>0</v>
      </c>
    </row>
    <row r="73" spans="1:22" x14ac:dyDescent="0.2">
      <c r="A73" t="s">
        <v>77</v>
      </c>
      <c r="B73" t="s">
        <v>36</v>
      </c>
      <c r="C73">
        <v>145</v>
      </c>
      <c r="D73">
        <v>165</v>
      </c>
      <c r="E73" s="1">
        <v>0.29199999999999998</v>
      </c>
      <c r="F73">
        <v>22</v>
      </c>
      <c r="G73" s="2">
        <v>29000000</v>
      </c>
      <c r="H73" s="7">
        <f t="shared" si="8"/>
        <v>12</v>
      </c>
      <c r="I73" t="s">
        <v>187</v>
      </c>
      <c r="J73">
        <f t="shared" si="7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1</v>
      </c>
      <c r="O73">
        <f t="shared" si="6"/>
        <v>0</v>
      </c>
      <c r="P73">
        <f t="shared" si="6"/>
        <v>0</v>
      </c>
      <c r="Q73">
        <f t="shared" si="9"/>
        <v>0</v>
      </c>
      <c r="R73">
        <f t="shared" si="10"/>
        <v>1</v>
      </c>
      <c r="S73">
        <v>4.7</v>
      </c>
      <c r="T73">
        <v>0</v>
      </c>
      <c r="U73">
        <v>0</v>
      </c>
      <c r="V73" s="5">
        <v>0</v>
      </c>
    </row>
    <row r="74" spans="1:22" x14ac:dyDescent="0.2">
      <c r="A74" t="s">
        <v>59</v>
      </c>
      <c r="B74" t="s">
        <v>60</v>
      </c>
      <c r="C74">
        <v>140</v>
      </c>
      <c r="D74">
        <v>134</v>
      </c>
      <c r="E74" s="1">
        <v>0.255</v>
      </c>
      <c r="F74">
        <v>22</v>
      </c>
      <c r="G74" s="2">
        <v>16500000</v>
      </c>
      <c r="H74" s="7">
        <f t="shared" si="8"/>
        <v>38</v>
      </c>
      <c r="I74" t="s">
        <v>76</v>
      </c>
      <c r="J74">
        <f t="shared" si="7"/>
        <v>0</v>
      </c>
      <c r="K74">
        <f t="shared" si="6"/>
        <v>0</v>
      </c>
      <c r="L74">
        <f t="shared" si="6"/>
        <v>1</v>
      </c>
      <c r="M74">
        <f t="shared" si="6"/>
        <v>0</v>
      </c>
      <c r="N74">
        <f t="shared" si="6"/>
        <v>0</v>
      </c>
      <c r="O74">
        <f t="shared" si="6"/>
        <v>0</v>
      </c>
      <c r="P74">
        <f t="shared" si="6"/>
        <v>0</v>
      </c>
      <c r="Q74">
        <f t="shared" si="9"/>
        <v>0</v>
      </c>
      <c r="R74">
        <f t="shared" si="10"/>
        <v>1</v>
      </c>
      <c r="S74">
        <v>1.8</v>
      </c>
      <c r="T74">
        <v>0</v>
      </c>
      <c r="U74">
        <v>0</v>
      </c>
      <c r="V74" s="5">
        <v>0</v>
      </c>
    </row>
    <row r="75" spans="1:22" x14ac:dyDescent="0.2">
      <c r="A75" t="s">
        <v>133</v>
      </c>
      <c r="B75" t="s">
        <v>38</v>
      </c>
      <c r="C75">
        <v>146</v>
      </c>
      <c r="D75">
        <v>155</v>
      </c>
      <c r="E75" s="1">
        <v>0.28399999999999997</v>
      </c>
      <c r="F75">
        <v>26</v>
      </c>
      <c r="G75" s="2">
        <v>760000</v>
      </c>
      <c r="H75" s="7">
        <f t="shared" si="8"/>
        <v>98</v>
      </c>
      <c r="I75" t="s">
        <v>141</v>
      </c>
      <c r="J75">
        <f t="shared" si="7"/>
        <v>0</v>
      </c>
      <c r="K75">
        <f t="shared" si="6"/>
        <v>0</v>
      </c>
      <c r="L75">
        <f t="shared" si="6"/>
        <v>0</v>
      </c>
      <c r="M75">
        <f t="shared" si="6"/>
        <v>0</v>
      </c>
      <c r="N75">
        <f t="shared" si="6"/>
        <v>0</v>
      </c>
      <c r="O75">
        <f t="shared" si="6"/>
        <v>0</v>
      </c>
      <c r="P75">
        <f t="shared" si="6"/>
        <v>1</v>
      </c>
      <c r="Q75">
        <f t="shared" si="9"/>
        <v>0</v>
      </c>
      <c r="R75">
        <f t="shared" si="10"/>
        <v>0</v>
      </c>
      <c r="S75">
        <v>2.9</v>
      </c>
      <c r="T75">
        <v>1</v>
      </c>
      <c r="U75">
        <v>0</v>
      </c>
      <c r="V75" s="5">
        <v>0</v>
      </c>
    </row>
    <row r="76" spans="1:22" x14ac:dyDescent="0.2">
      <c r="A76" t="s">
        <v>143</v>
      </c>
      <c r="B76" t="s">
        <v>65</v>
      </c>
      <c r="C76">
        <v>158</v>
      </c>
      <c r="D76">
        <v>178</v>
      </c>
      <c r="E76" s="1">
        <v>0.307</v>
      </c>
      <c r="F76">
        <v>39</v>
      </c>
      <c r="G76" s="2">
        <v>31000000</v>
      </c>
      <c r="H76" s="7">
        <f t="shared" si="8"/>
        <v>9</v>
      </c>
      <c r="I76" t="s">
        <v>186</v>
      </c>
      <c r="J76">
        <f t="shared" si="7"/>
        <v>1</v>
      </c>
      <c r="K76">
        <f t="shared" si="6"/>
        <v>0</v>
      </c>
      <c r="L76">
        <f t="shared" si="6"/>
        <v>0</v>
      </c>
      <c r="M76">
        <f t="shared" si="6"/>
        <v>0</v>
      </c>
      <c r="N76">
        <f t="shared" si="6"/>
        <v>0</v>
      </c>
      <c r="O76">
        <f t="shared" si="6"/>
        <v>0</v>
      </c>
      <c r="P76">
        <f t="shared" si="6"/>
        <v>0</v>
      </c>
      <c r="Q76">
        <f t="shared" si="9"/>
        <v>0</v>
      </c>
      <c r="R76">
        <f t="shared" si="10"/>
        <v>0</v>
      </c>
      <c r="S76">
        <v>7.4</v>
      </c>
      <c r="T76">
        <v>0</v>
      </c>
      <c r="U76">
        <v>0</v>
      </c>
      <c r="V76" s="5">
        <v>1</v>
      </c>
    </row>
    <row r="77" spans="1:22" x14ac:dyDescent="0.2">
      <c r="A77" t="s">
        <v>149</v>
      </c>
      <c r="B77" t="s">
        <v>30</v>
      </c>
      <c r="C77">
        <v>157</v>
      </c>
      <c r="D77">
        <v>172</v>
      </c>
      <c r="E77" s="1">
        <v>0.29099999999999998</v>
      </c>
      <c r="F77">
        <v>32</v>
      </c>
      <c r="G77" s="2">
        <v>12000000</v>
      </c>
      <c r="H77" s="7">
        <f t="shared" si="8"/>
        <v>50</v>
      </c>
      <c r="I77" t="s">
        <v>186</v>
      </c>
      <c r="J77">
        <f t="shared" si="7"/>
        <v>1</v>
      </c>
      <c r="K77">
        <f t="shared" si="6"/>
        <v>0</v>
      </c>
      <c r="L77">
        <f t="shared" si="6"/>
        <v>0</v>
      </c>
      <c r="M77">
        <f t="shared" si="6"/>
        <v>0</v>
      </c>
      <c r="N77">
        <f t="shared" si="6"/>
        <v>0</v>
      </c>
      <c r="O77">
        <f t="shared" si="6"/>
        <v>0</v>
      </c>
      <c r="P77">
        <f t="shared" si="6"/>
        <v>0</v>
      </c>
      <c r="Q77">
        <f t="shared" si="9"/>
        <v>0</v>
      </c>
      <c r="R77">
        <f t="shared" si="10"/>
        <v>0</v>
      </c>
      <c r="S77">
        <v>6.8</v>
      </c>
      <c r="T77">
        <v>0</v>
      </c>
      <c r="U77">
        <v>0</v>
      </c>
      <c r="V77" s="5">
        <v>1</v>
      </c>
    </row>
    <row r="78" spans="1:22" x14ac:dyDescent="0.2">
      <c r="A78" t="s">
        <v>130</v>
      </c>
      <c r="B78" t="s">
        <v>37</v>
      </c>
      <c r="C78">
        <v>132</v>
      </c>
      <c r="D78">
        <v>128</v>
      </c>
      <c r="E78" s="1">
        <v>0.26</v>
      </c>
      <c r="F78">
        <v>18</v>
      </c>
      <c r="G78" s="2">
        <v>13000000</v>
      </c>
      <c r="H78" s="7">
        <f t="shared" si="8"/>
        <v>45</v>
      </c>
      <c r="I78" t="s">
        <v>141</v>
      </c>
      <c r="J78">
        <f t="shared" si="7"/>
        <v>0</v>
      </c>
      <c r="K78">
        <f t="shared" si="6"/>
        <v>0</v>
      </c>
      <c r="L78">
        <f t="shared" si="6"/>
        <v>0</v>
      </c>
      <c r="M78">
        <f t="shared" si="6"/>
        <v>0</v>
      </c>
      <c r="N78">
        <f t="shared" si="6"/>
        <v>0</v>
      </c>
      <c r="O78">
        <f t="shared" si="6"/>
        <v>0</v>
      </c>
      <c r="P78">
        <f t="shared" si="6"/>
        <v>1</v>
      </c>
      <c r="Q78">
        <f t="shared" si="9"/>
        <v>0</v>
      </c>
      <c r="R78">
        <f t="shared" si="10"/>
        <v>0</v>
      </c>
      <c r="S78">
        <v>1.7</v>
      </c>
      <c r="T78">
        <v>0</v>
      </c>
      <c r="U78">
        <v>0</v>
      </c>
      <c r="V78" s="5">
        <v>0</v>
      </c>
    </row>
    <row r="79" spans="1:22" x14ac:dyDescent="0.2">
      <c r="A79" t="s">
        <v>15</v>
      </c>
      <c r="B79" t="s">
        <v>35</v>
      </c>
      <c r="C79">
        <v>141</v>
      </c>
      <c r="D79">
        <v>125</v>
      </c>
      <c r="E79" s="1">
        <v>0.247</v>
      </c>
      <c r="F79">
        <v>2</v>
      </c>
      <c r="G79" s="2">
        <v>6000000</v>
      </c>
      <c r="H79" s="7">
        <f t="shared" si="8"/>
        <v>79</v>
      </c>
      <c r="I79" t="s">
        <v>47</v>
      </c>
      <c r="J79">
        <f t="shared" si="7"/>
        <v>0</v>
      </c>
      <c r="K79">
        <f t="shared" si="6"/>
        <v>1</v>
      </c>
      <c r="L79">
        <f t="shared" si="6"/>
        <v>0</v>
      </c>
      <c r="M79">
        <f t="shared" si="6"/>
        <v>0</v>
      </c>
      <c r="N79">
        <f t="shared" si="6"/>
        <v>0</v>
      </c>
      <c r="O79">
        <f t="shared" si="6"/>
        <v>0</v>
      </c>
      <c r="P79">
        <f t="shared" si="6"/>
        <v>0</v>
      </c>
      <c r="Q79">
        <f t="shared" si="9"/>
        <v>0</v>
      </c>
      <c r="R79">
        <f t="shared" si="10"/>
        <v>0</v>
      </c>
      <c r="S79">
        <v>1.2</v>
      </c>
      <c r="T79">
        <v>0</v>
      </c>
      <c r="U79">
        <v>0</v>
      </c>
      <c r="V79" s="5">
        <v>0</v>
      </c>
    </row>
    <row r="80" spans="1:22" x14ac:dyDescent="0.2">
      <c r="A80" t="s">
        <v>81</v>
      </c>
      <c r="B80" t="s">
        <v>33</v>
      </c>
      <c r="C80">
        <v>154</v>
      </c>
      <c r="D80">
        <v>168</v>
      </c>
      <c r="E80" s="1">
        <v>0.28299999999999997</v>
      </c>
      <c r="F80">
        <v>26</v>
      </c>
      <c r="G80" s="2">
        <v>11000000</v>
      </c>
      <c r="H80" s="7">
        <f t="shared" si="8"/>
        <v>61</v>
      </c>
      <c r="I80" t="s">
        <v>100</v>
      </c>
      <c r="J80">
        <f t="shared" si="7"/>
        <v>0</v>
      </c>
      <c r="K80">
        <f t="shared" si="6"/>
        <v>0</v>
      </c>
      <c r="L80">
        <f t="shared" si="6"/>
        <v>0</v>
      </c>
      <c r="M80">
        <f t="shared" si="6"/>
        <v>1</v>
      </c>
      <c r="N80">
        <f t="shared" si="6"/>
        <v>0</v>
      </c>
      <c r="O80">
        <f t="shared" si="6"/>
        <v>0</v>
      </c>
      <c r="P80">
        <f t="shared" si="6"/>
        <v>0</v>
      </c>
      <c r="Q80">
        <f t="shared" si="9"/>
        <v>1</v>
      </c>
      <c r="R80">
        <f t="shared" si="10"/>
        <v>0</v>
      </c>
      <c r="S80">
        <v>4.3</v>
      </c>
      <c r="T80">
        <v>0</v>
      </c>
      <c r="U80">
        <v>0</v>
      </c>
      <c r="V80" s="5">
        <v>0</v>
      </c>
    </row>
    <row r="81" spans="1:22" x14ac:dyDescent="0.2">
      <c r="A81" t="s">
        <v>170</v>
      </c>
      <c r="B81" t="s">
        <v>29</v>
      </c>
      <c r="C81">
        <v>142</v>
      </c>
      <c r="D81">
        <v>135</v>
      </c>
      <c r="E81" s="1">
        <v>0.25900000000000001</v>
      </c>
      <c r="F81">
        <v>14</v>
      </c>
      <c r="G81" s="2">
        <v>760000</v>
      </c>
      <c r="H81" s="7">
        <f t="shared" si="8"/>
        <v>98</v>
      </c>
      <c r="I81" t="s">
        <v>187</v>
      </c>
      <c r="J81">
        <f t="shared" si="7"/>
        <v>0</v>
      </c>
      <c r="K81">
        <f t="shared" si="6"/>
        <v>0</v>
      </c>
      <c r="L81">
        <f t="shared" si="6"/>
        <v>0</v>
      </c>
      <c r="M81">
        <f t="shared" si="6"/>
        <v>0</v>
      </c>
      <c r="N81">
        <f t="shared" si="6"/>
        <v>1</v>
      </c>
      <c r="O81">
        <f t="shared" si="6"/>
        <v>0</v>
      </c>
      <c r="P81">
        <f t="shared" si="6"/>
        <v>0</v>
      </c>
      <c r="Q81">
        <f t="shared" si="9"/>
        <v>0</v>
      </c>
      <c r="R81">
        <f t="shared" si="10"/>
        <v>1</v>
      </c>
      <c r="S81">
        <v>1.8</v>
      </c>
      <c r="T81">
        <v>0</v>
      </c>
      <c r="U81">
        <v>0</v>
      </c>
      <c r="V81" s="5">
        <v>0</v>
      </c>
    </row>
    <row r="82" spans="1:22" x14ac:dyDescent="0.2">
      <c r="A82" t="s">
        <v>123</v>
      </c>
      <c r="B82" t="s">
        <v>27</v>
      </c>
      <c r="C82">
        <v>154</v>
      </c>
      <c r="D82">
        <v>130</v>
      </c>
      <c r="E82" s="1">
        <v>0.23100000000000001</v>
      </c>
      <c r="F82">
        <v>56</v>
      </c>
      <c r="G82" s="2">
        <v>20000000</v>
      </c>
      <c r="H82" s="7">
        <f t="shared" si="8"/>
        <v>26</v>
      </c>
      <c r="I82" t="s">
        <v>186</v>
      </c>
      <c r="J82">
        <f t="shared" si="7"/>
        <v>1</v>
      </c>
      <c r="K82">
        <f t="shared" si="6"/>
        <v>0</v>
      </c>
      <c r="L82">
        <f t="shared" si="6"/>
        <v>0</v>
      </c>
      <c r="M82">
        <f t="shared" si="6"/>
        <v>0</v>
      </c>
      <c r="N82">
        <f t="shared" si="6"/>
        <v>0</v>
      </c>
      <c r="O82">
        <f t="shared" si="6"/>
        <v>0</v>
      </c>
      <c r="P82">
        <f t="shared" si="6"/>
        <v>0</v>
      </c>
      <c r="Q82">
        <f t="shared" si="9"/>
        <v>0</v>
      </c>
      <c r="R82">
        <f t="shared" si="10"/>
        <v>0</v>
      </c>
      <c r="S82">
        <v>3.6</v>
      </c>
      <c r="T82">
        <v>0</v>
      </c>
      <c r="U82">
        <v>0</v>
      </c>
      <c r="V82" s="5">
        <v>0</v>
      </c>
    </row>
    <row r="83" spans="1:22" x14ac:dyDescent="0.2">
      <c r="A83" t="s">
        <v>146</v>
      </c>
      <c r="B83" t="s">
        <v>36</v>
      </c>
      <c r="C83">
        <v>155</v>
      </c>
      <c r="D83">
        <v>166</v>
      </c>
      <c r="E83" s="1">
        <v>0.28599999999999998</v>
      </c>
      <c r="F83">
        <v>34</v>
      </c>
      <c r="G83" s="2">
        <v>12000000</v>
      </c>
      <c r="H83" s="7">
        <f t="shared" si="8"/>
        <v>50</v>
      </c>
      <c r="I83" t="s">
        <v>186</v>
      </c>
      <c r="J83">
        <f t="shared" si="7"/>
        <v>1</v>
      </c>
      <c r="K83">
        <f t="shared" si="6"/>
        <v>0</v>
      </c>
      <c r="L83">
        <f t="shared" si="6"/>
        <v>0</v>
      </c>
      <c r="M83">
        <f t="shared" si="6"/>
        <v>0</v>
      </c>
      <c r="N83">
        <f t="shared" si="6"/>
        <v>0</v>
      </c>
      <c r="O83">
        <f t="shared" si="6"/>
        <v>0</v>
      </c>
      <c r="P83">
        <f t="shared" si="6"/>
        <v>0</v>
      </c>
      <c r="Q83">
        <f t="shared" si="9"/>
        <v>0</v>
      </c>
      <c r="R83">
        <f t="shared" si="10"/>
        <v>0</v>
      </c>
      <c r="S83">
        <v>6.1</v>
      </c>
      <c r="T83">
        <v>0</v>
      </c>
      <c r="U83">
        <v>1</v>
      </c>
      <c r="V83" s="5">
        <v>1</v>
      </c>
    </row>
    <row r="84" spans="1:22" x14ac:dyDescent="0.2">
      <c r="A84" t="s">
        <v>177</v>
      </c>
      <c r="B84" t="s">
        <v>35</v>
      </c>
      <c r="C84">
        <v>146</v>
      </c>
      <c r="D84">
        <v>148</v>
      </c>
      <c r="E84" s="1">
        <v>0.26800000000000002</v>
      </c>
      <c r="F84">
        <v>24</v>
      </c>
      <c r="G84" s="2">
        <v>4900000</v>
      </c>
      <c r="H84" s="7">
        <f t="shared" si="8"/>
        <v>85</v>
      </c>
      <c r="I84" t="s">
        <v>186</v>
      </c>
      <c r="J84">
        <f t="shared" si="7"/>
        <v>1</v>
      </c>
      <c r="K84">
        <f t="shared" si="6"/>
        <v>0</v>
      </c>
      <c r="L84">
        <f t="shared" si="6"/>
        <v>0</v>
      </c>
      <c r="M84">
        <f t="shared" si="6"/>
        <v>0</v>
      </c>
      <c r="N84">
        <f t="shared" si="6"/>
        <v>0</v>
      </c>
      <c r="O84">
        <f t="shared" si="6"/>
        <v>0</v>
      </c>
      <c r="P84">
        <f t="shared" si="6"/>
        <v>0</v>
      </c>
      <c r="Q84">
        <f t="shared" si="9"/>
        <v>0</v>
      </c>
      <c r="R84">
        <f t="shared" si="10"/>
        <v>0</v>
      </c>
      <c r="S84">
        <v>2.8</v>
      </c>
      <c r="T84">
        <v>0</v>
      </c>
      <c r="U84">
        <v>0</v>
      </c>
      <c r="V84" s="5">
        <v>0</v>
      </c>
    </row>
    <row r="85" spans="1:22" x14ac:dyDescent="0.2">
      <c r="A85" t="s">
        <v>163</v>
      </c>
      <c r="B85" t="s">
        <v>33</v>
      </c>
      <c r="C85">
        <v>147</v>
      </c>
      <c r="D85">
        <v>150</v>
      </c>
      <c r="E85" s="1">
        <v>0.26600000000000001</v>
      </c>
      <c r="F85">
        <v>22</v>
      </c>
      <c r="G85" s="2">
        <v>12000000</v>
      </c>
      <c r="H85" s="7">
        <f t="shared" si="8"/>
        <v>50</v>
      </c>
      <c r="I85" t="s">
        <v>186</v>
      </c>
      <c r="J85">
        <f t="shared" si="7"/>
        <v>1</v>
      </c>
      <c r="K85">
        <f t="shared" si="6"/>
        <v>0</v>
      </c>
      <c r="L85">
        <f t="shared" si="6"/>
        <v>0</v>
      </c>
      <c r="M85">
        <f t="shared" si="6"/>
        <v>0</v>
      </c>
      <c r="N85">
        <f t="shared" si="6"/>
        <v>0</v>
      </c>
      <c r="O85">
        <f t="shared" si="6"/>
        <v>0</v>
      </c>
      <c r="P85">
        <f t="shared" si="6"/>
        <v>0</v>
      </c>
      <c r="Q85">
        <f t="shared" si="9"/>
        <v>0</v>
      </c>
      <c r="R85">
        <f t="shared" si="10"/>
        <v>0</v>
      </c>
      <c r="S85">
        <v>2.7</v>
      </c>
      <c r="T85">
        <v>0</v>
      </c>
      <c r="U85">
        <v>0</v>
      </c>
      <c r="V85" s="5">
        <v>0</v>
      </c>
    </row>
    <row r="86" spans="1:22" x14ac:dyDescent="0.2">
      <c r="A86" t="s">
        <v>88</v>
      </c>
      <c r="B86" t="s">
        <v>89</v>
      </c>
      <c r="C86">
        <v>153</v>
      </c>
      <c r="D86">
        <v>201</v>
      </c>
      <c r="E86" s="1">
        <v>0.32900000000000001</v>
      </c>
      <c r="F86">
        <v>8</v>
      </c>
      <c r="G86" s="2">
        <v>10000000</v>
      </c>
      <c r="H86" s="7">
        <f t="shared" si="8"/>
        <v>64</v>
      </c>
      <c r="I86" t="s">
        <v>100</v>
      </c>
      <c r="J86">
        <f t="shared" si="7"/>
        <v>0</v>
      </c>
      <c r="K86">
        <f t="shared" si="6"/>
        <v>0</v>
      </c>
      <c r="L86">
        <f t="shared" si="6"/>
        <v>0</v>
      </c>
      <c r="M86">
        <f t="shared" si="6"/>
        <v>1</v>
      </c>
      <c r="N86">
        <f t="shared" si="6"/>
        <v>0</v>
      </c>
      <c r="O86">
        <f t="shared" si="6"/>
        <v>0</v>
      </c>
      <c r="P86">
        <f t="shared" si="6"/>
        <v>0</v>
      </c>
      <c r="Q86">
        <f t="shared" si="9"/>
        <v>1</v>
      </c>
      <c r="R86">
        <f t="shared" si="10"/>
        <v>0</v>
      </c>
      <c r="S86">
        <v>4.5999999999999996</v>
      </c>
      <c r="T86">
        <v>0</v>
      </c>
      <c r="U86">
        <v>0</v>
      </c>
      <c r="V86" s="5">
        <v>1</v>
      </c>
    </row>
    <row r="87" spans="1:22" x14ac:dyDescent="0.2">
      <c r="A87" t="s">
        <v>118</v>
      </c>
      <c r="B87" t="s">
        <v>35</v>
      </c>
      <c r="C87">
        <v>140</v>
      </c>
      <c r="D87">
        <v>136</v>
      </c>
      <c r="E87" s="1">
        <v>0.25900000000000001</v>
      </c>
      <c r="F87">
        <v>14</v>
      </c>
      <c r="G87" s="2">
        <v>760000</v>
      </c>
      <c r="H87" s="7">
        <f t="shared" si="8"/>
        <v>98</v>
      </c>
      <c r="I87" t="s">
        <v>121</v>
      </c>
      <c r="J87">
        <f t="shared" si="7"/>
        <v>0</v>
      </c>
      <c r="K87">
        <f t="shared" si="6"/>
        <v>0</v>
      </c>
      <c r="L87">
        <f t="shared" si="6"/>
        <v>0</v>
      </c>
      <c r="M87">
        <f t="shared" si="6"/>
        <v>0</v>
      </c>
      <c r="N87">
        <f t="shared" si="6"/>
        <v>0</v>
      </c>
      <c r="O87">
        <f t="shared" si="6"/>
        <v>1</v>
      </c>
      <c r="P87">
        <f t="shared" si="6"/>
        <v>0</v>
      </c>
      <c r="Q87">
        <f t="shared" si="9"/>
        <v>1</v>
      </c>
      <c r="R87">
        <f t="shared" si="10"/>
        <v>0</v>
      </c>
      <c r="S87">
        <v>1.9</v>
      </c>
      <c r="T87">
        <v>0</v>
      </c>
      <c r="U87">
        <v>0</v>
      </c>
      <c r="V87" s="5">
        <v>0</v>
      </c>
    </row>
    <row r="88" spans="1:22" x14ac:dyDescent="0.2">
      <c r="A88" t="s">
        <v>148</v>
      </c>
      <c r="B88" t="s">
        <v>70</v>
      </c>
      <c r="C88">
        <v>148</v>
      </c>
      <c r="D88">
        <v>160</v>
      </c>
      <c r="E88" s="1">
        <v>0.28799999999999998</v>
      </c>
      <c r="F88">
        <v>37</v>
      </c>
      <c r="G88" s="2">
        <v>8500000</v>
      </c>
      <c r="H88" s="7">
        <f t="shared" si="8"/>
        <v>71</v>
      </c>
      <c r="I88" t="s">
        <v>186</v>
      </c>
      <c r="J88">
        <f t="shared" si="7"/>
        <v>1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9"/>
        <v>0</v>
      </c>
      <c r="R88">
        <f t="shared" si="10"/>
        <v>0</v>
      </c>
      <c r="S88">
        <v>5.4</v>
      </c>
      <c r="T88">
        <v>0</v>
      </c>
      <c r="U88">
        <v>0</v>
      </c>
      <c r="V88" s="5">
        <v>0</v>
      </c>
    </row>
    <row r="89" spans="1:22" x14ac:dyDescent="0.2">
      <c r="A89" t="s">
        <v>72</v>
      </c>
      <c r="B89" t="s">
        <v>73</v>
      </c>
      <c r="C89">
        <v>100</v>
      </c>
      <c r="D89">
        <v>90</v>
      </c>
      <c r="E89" s="1">
        <v>0.23</v>
      </c>
      <c r="F89">
        <v>15</v>
      </c>
      <c r="G89" s="2">
        <v>2000000</v>
      </c>
      <c r="H89" s="7">
        <f t="shared" si="8"/>
        <v>95</v>
      </c>
      <c r="I89" t="s">
        <v>76</v>
      </c>
      <c r="J89">
        <f t="shared" si="7"/>
        <v>0</v>
      </c>
      <c r="K89">
        <f t="shared" si="6"/>
        <v>0</v>
      </c>
      <c r="L89">
        <f t="shared" si="6"/>
        <v>1</v>
      </c>
      <c r="M89">
        <f t="shared" si="6"/>
        <v>0</v>
      </c>
      <c r="N89">
        <f t="shared" si="6"/>
        <v>0</v>
      </c>
      <c r="O89">
        <f t="shared" si="6"/>
        <v>0</v>
      </c>
      <c r="P89">
        <f t="shared" si="6"/>
        <v>0</v>
      </c>
      <c r="Q89">
        <f t="shared" si="9"/>
        <v>0</v>
      </c>
      <c r="R89">
        <f t="shared" si="10"/>
        <v>1</v>
      </c>
      <c r="S89">
        <v>0.5</v>
      </c>
      <c r="T89">
        <v>0</v>
      </c>
      <c r="U89">
        <v>0</v>
      </c>
      <c r="V89" s="5">
        <v>0</v>
      </c>
    </row>
    <row r="90" spans="1:22" x14ac:dyDescent="0.2">
      <c r="A90" t="s">
        <v>172</v>
      </c>
      <c r="B90" t="s">
        <v>44</v>
      </c>
      <c r="C90">
        <v>132</v>
      </c>
      <c r="D90">
        <v>126</v>
      </c>
      <c r="E90" s="1">
        <v>0.25700000000000001</v>
      </c>
      <c r="F90">
        <v>12</v>
      </c>
      <c r="G90" s="2">
        <v>10000000</v>
      </c>
      <c r="H90" s="7">
        <f t="shared" si="8"/>
        <v>64</v>
      </c>
      <c r="I90" t="s">
        <v>186</v>
      </c>
      <c r="J90">
        <f t="shared" si="7"/>
        <v>1</v>
      </c>
      <c r="K90">
        <f t="shared" si="6"/>
        <v>0</v>
      </c>
      <c r="L90">
        <f t="shared" si="6"/>
        <v>0</v>
      </c>
      <c r="M90">
        <f t="shared" si="6"/>
        <v>0</v>
      </c>
      <c r="N90">
        <f t="shared" si="6"/>
        <v>0</v>
      </c>
      <c r="O90">
        <f t="shared" si="6"/>
        <v>0</v>
      </c>
      <c r="P90">
        <f t="shared" si="6"/>
        <v>0</v>
      </c>
      <c r="Q90">
        <f t="shared" si="9"/>
        <v>0</v>
      </c>
      <c r="R90">
        <f t="shared" si="10"/>
        <v>0</v>
      </c>
      <c r="S90">
        <v>1.4</v>
      </c>
      <c r="T90">
        <v>0</v>
      </c>
      <c r="U90">
        <v>0</v>
      </c>
      <c r="V90" s="5">
        <v>0</v>
      </c>
    </row>
    <row r="91" spans="1:22" x14ac:dyDescent="0.2">
      <c r="A91" t="s">
        <v>138</v>
      </c>
      <c r="B91" t="s">
        <v>41</v>
      </c>
      <c r="C91">
        <v>152</v>
      </c>
      <c r="D91">
        <v>155</v>
      </c>
      <c r="E91" s="1">
        <v>0.26800000000000002</v>
      </c>
      <c r="F91">
        <v>34</v>
      </c>
      <c r="G91" s="2">
        <v>16000000</v>
      </c>
      <c r="H91" s="7">
        <f t="shared" si="8"/>
        <v>39</v>
      </c>
      <c r="I91" t="s">
        <v>141</v>
      </c>
      <c r="J91">
        <f t="shared" si="7"/>
        <v>0</v>
      </c>
      <c r="K91">
        <f t="shared" si="6"/>
        <v>0</v>
      </c>
      <c r="L91">
        <f t="shared" si="6"/>
        <v>0</v>
      </c>
      <c r="M91">
        <f t="shared" si="6"/>
        <v>0</v>
      </c>
      <c r="N91">
        <f t="shared" si="6"/>
        <v>0</v>
      </c>
      <c r="O91">
        <f t="shared" si="6"/>
        <v>0</v>
      </c>
      <c r="P91">
        <f t="shared" si="6"/>
        <v>1</v>
      </c>
      <c r="Q91">
        <f t="shared" si="9"/>
        <v>0</v>
      </c>
      <c r="R91">
        <f t="shared" si="10"/>
        <v>0</v>
      </c>
      <c r="S91">
        <v>2.9</v>
      </c>
      <c r="T91">
        <v>0</v>
      </c>
      <c r="U91">
        <v>0</v>
      </c>
      <c r="V91" s="5">
        <v>0</v>
      </c>
    </row>
    <row r="92" spans="1:22" x14ac:dyDescent="0.2">
      <c r="A92" t="s">
        <v>117</v>
      </c>
      <c r="B92" t="s">
        <v>46</v>
      </c>
      <c r="C92">
        <v>125</v>
      </c>
      <c r="D92">
        <v>120</v>
      </c>
      <c r="E92" s="1">
        <v>0.252</v>
      </c>
      <c r="F92">
        <v>12</v>
      </c>
      <c r="G92" s="2">
        <v>760000</v>
      </c>
      <c r="H92" s="7">
        <f t="shared" si="8"/>
        <v>98</v>
      </c>
      <c r="I92" t="s">
        <v>121</v>
      </c>
      <c r="J92">
        <f t="shared" si="7"/>
        <v>0</v>
      </c>
      <c r="K92">
        <f t="shared" si="6"/>
        <v>0</v>
      </c>
      <c r="L92">
        <f t="shared" si="6"/>
        <v>0</v>
      </c>
      <c r="M92">
        <f t="shared" si="6"/>
        <v>0</v>
      </c>
      <c r="N92">
        <f t="shared" si="6"/>
        <v>0</v>
      </c>
      <c r="O92">
        <f t="shared" si="6"/>
        <v>1</v>
      </c>
      <c r="P92">
        <f t="shared" si="6"/>
        <v>0</v>
      </c>
      <c r="Q92">
        <f t="shared" si="9"/>
        <v>1</v>
      </c>
      <c r="R92">
        <f t="shared" si="10"/>
        <v>0</v>
      </c>
      <c r="S92">
        <v>1.8</v>
      </c>
      <c r="T92">
        <v>0</v>
      </c>
      <c r="U92">
        <v>0</v>
      </c>
      <c r="V92" s="5">
        <v>0</v>
      </c>
    </row>
    <row r="93" spans="1:22" x14ac:dyDescent="0.2">
      <c r="A93" t="s">
        <v>78</v>
      </c>
      <c r="B93" t="s">
        <v>34</v>
      </c>
      <c r="C93">
        <v>158</v>
      </c>
      <c r="D93">
        <v>180</v>
      </c>
      <c r="E93" s="1">
        <v>0.27800000000000002</v>
      </c>
      <c r="F93">
        <v>28</v>
      </c>
      <c r="G93" s="2">
        <v>25000000</v>
      </c>
      <c r="H93" s="7">
        <f t="shared" si="8"/>
        <v>17</v>
      </c>
      <c r="I93" t="s">
        <v>100</v>
      </c>
      <c r="J93">
        <f t="shared" si="7"/>
        <v>0</v>
      </c>
      <c r="K93">
        <f t="shared" si="6"/>
        <v>0</v>
      </c>
      <c r="L93">
        <f t="shared" si="6"/>
        <v>0</v>
      </c>
      <c r="M93">
        <f t="shared" si="6"/>
        <v>1</v>
      </c>
      <c r="N93">
        <f t="shared" si="6"/>
        <v>0</v>
      </c>
      <c r="O93">
        <f t="shared" si="6"/>
        <v>0</v>
      </c>
      <c r="P93">
        <f t="shared" si="6"/>
        <v>0</v>
      </c>
      <c r="Q93">
        <f t="shared" si="9"/>
        <v>1</v>
      </c>
      <c r="R93">
        <f t="shared" si="10"/>
        <v>0</v>
      </c>
      <c r="S93">
        <v>5</v>
      </c>
      <c r="T93">
        <v>0</v>
      </c>
      <c r="U93">
        <v>0</v>
      </c>
      <c r="V93" s="5">
        <v>0</v>
      </c>
    </row>
    <row r="94" spans="1:22" x14ac:dyDescent="0.2">
      <c r="A94" t="s">
        <v>169</v>
      </c>
      <c r="B94" t="s">
        <v>57</v>
      </c>
      <c r="C94">
        <v>139</v>
      </c>
      <c r="D94">
        <v>133</v>
      </c>
      <c r="E94" s="1">
        <v>0.26</v>
      </c>
      <c r="F94">
        <v>16</v>
      </c>
      <c r="G94" s="2">
        <v>11000000</v>
      </c>
      <c r="H94" s="7">
        <f t="shared" si="8"/>
        <v>61</v>
      </c>
      <c r="I94" t="s">
        <v>186</v>
      </c>
      <c r="J94">
        <f t="shared" si="7"/>
        <v>1</v>
      </c>
      <c r="K94">
        <f t="shared" si="6"/>
        <v>0</v>
      </c>
      <c r="L94">
        <f t="shared" si="6"/>
        <v>0</v>
      </c>
      <c r="M94">
        <f t="shared" si="6"/>
        <v>0</v>
      </c>
      <c r="N94">
        <f t="shared" si="6"/>
        <v>0</v>
      </c>
      <c r="O94">
        <f t="shared" ref="K94:P112" si="11">IF($I94=O$1,1,0)</f>
        <v>0</v>
      </c>
      <c r="P94">
        <f t="shared" si="11"/>
        <v>0</v>
      </c>
      <c r="Q94">
        <f t="shared" si="9"/>
        <v>0</v>
      </c>
      <c r="R94">
        <f t="shared" si="10"/>
        <v>0</v>
      </c>
      <c r="S94">
        <v>1.5</v>
      </c>
      <c r="T94">
        <v>0</v>
      </c>
      <c r="U94">
        <v>0</v>
      </c>
      <c r="V94" s="5">
        <v>0</v>
      </c>
    </row>
    <row r="95" spans="1:22" x14ac:dyDescent="0.2">
      <c r="A95" t="s">
        <v>53</v>
      </c>
      <c r="B95" t="s">
        <v>41</v>
      </c>
      <c r="C95">
        <v>158</v>
      </c>
      <c r="D95">
        <v>170</v>
      </c>
      <c r="E95" s="1">
        <v>0.27200000000000002</v>
      </c>
      <c r="F95">
        <v>44</v>
      </c>
      <c r="G95" s="2">
        <v>22000000</v>
      </c>
      <c r="H95" s="7">
        <f t="shared" si="8"/>
        <v>24</v>
      </c>
      <c r="I95" t="s">
        <v>76</v>
      </c>
      <c r="J95">
        <f t="shared" si="7"/>
        <v>0</v>
      </c>
      <c r="K95">
        <f t="shared" si="11"/>
        <v>0</v>
      </c>
      <c r="L95">
        <f t="shared" si="11"/>
        <v>1</v>
      </c>
      <c r="M95">
        <f t="shared" si="11"/>
        <v>0</v>
      </c>
      <c r="N95">
        <f t="shared" si="11"/>
        <v>0</v>
      </c>
      <c r="O95">
        <f t="shared" si="11"/>
        <v>0</v>
      </c>
      <c r="P95">
        <f t="shared" si="11"/>
        <v>0</v>
      </c>
      <c r="Q95">
        <f t="shared" si="9"/>
        <v>0</v>
      </c>
      <c r="R95">
        <f t="shared" si="10"/>
        <v>1</v>
      </c>
      <c r="S95">
        <v>5</v>
      </c>
      <c r="T95">
        <v>0</v>
      </c>
      <c r="U95">
        <v>1</v>
      </c>
      <c r="V95" s="5">
        <v>0</v>
      </c>
    </row>
    <row r="96" spans="1:22" x14ac:dyDescent="0.2">
      <c r="A96" t="s">
        <v>156</v>
      </c>
      <c r="B96" t="s">
        <v>41</v>
      </c>
      <c r="C96">
        <v>150</v>
      </c>
      <c r="D96">
        <v>158</v>
      </c>
      <c r="E96" s="1">
        <v>0.28499999999999998</v>
      </c>
      <c r="F96">
        <v>20</v>
      </c>
      <c r="G96" s="2">
        <v>5000000</v>
      </c>
      <c r="H96" s="7">
        <f t="shared" si="8"/>
        <v>83</v>
      </c>
      <c r="I96" t="s">
        <v>186</v>
      </c>
      <c r="J96">
        <f t="shared" si="7"/>
        <v>1</v>
      </c>
      <c r="K96">
        <f t="shared" si="11"/>
        <v>0</v>
      </c>
      <c r="L96">
        <f t="shared" si="11"/>
        <v>0</v>
      </c>
      <c r="M96">
        <f t="shared" si="11"/>
        <v>0</v>
      </c>
      <c r="N96">
        <f t="shared" si="11"/>
        <v>0</v>
      </c>
      <c r="O96">
        <f t="shared" si="11"/>
        <v>0</v>
      </c>
      <c r="P96">
        <f t="shared" si="11"/>
        <v>0</v>
      </c>
      <c r="Q96">
        <f t="shared" si="9"/>
        <v>0</v>
      </c>
      <c r="R96">
        <f t="shared" si="10"/>
        <v>0</v>
      </c>
      <c r="S96">
        <v>4.4000000000000004</v>
      </c>
      <c r="T96">
        <v>0</v>
      </c>
      <c r="U96">
        <v>0</v>
      </c>
      <c r="V96" s="5">
        <v>0</v>
      </c>
    </row>
    <row r="97" spans="1:22" x14ac:dyDescent="0.2">
      <c r="A97" t="s">
        <v>99</v>
      </c>
      <c r="B97" t="s">
        <v>29</v>
      </c>
      <c r="C97">
        <v>130</v>
      </c>
      <c r="D97">
        <v>119</v>
      </c>
      <c r="E97" s="1">
        <v>0.249</v>
      </c>
      <c r="F97">
        <v>17</v>
      </c>
      <c r="G97" s="2">
        <v>760000</v>
      </c>
      <c r="H97" s="7">
        <f t="shared" si="8"/>
        <v>98</v>
      </c>
      <c r="I97" t="s">
        <v>121</v>
      </c>
      <c r="J97">
        <f t="shared" si="7"/>
        <v>0</v>
      </c>
      <c r="K97">
        <f t="shared" si="11"/>
        <v>0</v>
      </c>
      <c r="L97">
        <f t="shared" si="11"/>
        <v>0</v>
      </c>
      <c r="M97">
        <f t="shared" si="11"/>
        <v>0</v>
      </c>
      <c r="N97">
        <f t="shared" si="11"/>
        <v>0</v>
      </c>
      <c r="O97">
        <f t="shared" si="11"/>
        <v>1</v>
      </c>
      <c r="P97">
        <f t="shared" si="11"/>
        <v>0</v>
      </c>
      <c r="Q97">
        <f t="shared" si="9"/>
        <v>1</v>
      </c>
      <c r="R97">
        <f t="shared" si="10"/>
        <v>0</v>
      </c>
      <c r="S97">
        <v>1.9</v>
      </c>
      <c r="T97">
        <v>0</v>
      </c>
      <c r="U97">
        <v>0</v>
      </c>
      <c r="V97" s="5">
        <v>0</v>
      </c>
    </row>
    <row r="98" spans="1:22" x14ac:dyDescent="0.2">
      <c r="A98" t="s">
        <v>129</v>
      </c>
      <c r="B98" t="s">
        <v>57</v>
      </c>
      <c r="C98">
        <v>118</v>
      </c>
      <c r="D98">
        <v>112</v>
      </c>
      <c r="E98" s="1">
        <v>0.25900000000000001</v>
      </c>
      <c r="F98">
        <v>15</v>
      </c>
      <c r="G98" s="2">
        <v>32000000</v>
      </c>
      <c r="H98" s="7">
        <f t="shared" si="8"/>
        <v>7</v>
      </c>
      <c r="I98" t="s">
        <v>141</v>
      </c>
      <c r="J98">
        <f t="shared" si="7"/>
        <v>0</v>
      </c>
      <c r="K98">
        <f t="shared" si="11"/>
        <v>0</v>
      </c>
      <c r="L98">
        <f t="shared" si="11"/>
        <v>0</v>
      </c>
      <c r="M98">
        <f t="shared" si="11"/>
        <v>0</v>
      </c>
      <c r="N98">
        <f t="shared" si="11"/>
        <v>0</v>
      </c>
      <c r="O98">
        <f t="shared" si="11"/>
        <v>0</v>
      </c>
      <c r="P98">
        <f t="shared" si="11"/>
        <v>1</v>
      </c>
      <c r="Q98">
        <f t="shared" si="9"/>
        <v>0</v>
      </c>
      <c r="R98">
        <f t="shared" si="10"/>
        <v>0</v>
      </c>
      <c r="S98">
        <v>0</v>
      </c>
      <c r="T98">
        <v>0</v>
      </c>
      <c r="U98">
        <v>0</v>
      </c>
      <c r="V98" s="5">
        <v>0</v>
      </c>
    </row>
    <row r="99" spans="1:22" x14ac:dyDescent="0.2">
      <c r="A99" t="s">
        <v>147</v>
      </c>
      <c r="B99" t="s">
        <v>96</v>
      </c>
      <c r="C99">
        <v>140</v>
      </c>
      <c r="D99">
        <v>145</v>
      </c>
      <c r="E99" s="1">
        <v>0.29099999999999998</v>
      </c>
      <c r="F99">
        <v>33</v>
      </c>
      <c r="G99" s="2">
        <v>37000000</v>
      </c>
      <c r="H99" s="7">
        <f t="shared" si="8"/>
        <v>3</v>
      </c>
      <c r="I99" t="s">
        <v>186</v>
      </c>
      <c r="J99">
        <f t="shared" si="7"/>
        <v>1</v>
      </c>
      <c r="K99">
        <f t="shared" si="11"/>
        <v>0</v>
      </c>
      <c r="L99">
        <f t="shared" si="11"/>
        <v>0</v>
      </c>
      <c r="M99">
        <f t="shared" si="11"/>
        <v>0</v>
      </c>
      <c r="N99">
        <f t="shared" si="11"/>
        <v>0</v>
      </c>
      <c r="O99">
        <f t="shared" si="11"/>
        <v>0</v>
      </c>
      <c r="P99">
        <f t="shared" si="11"/>
        <v>0</v>
      </c>
      <c r="Q99">
        <f t="shared" si="9"/>
        <v>0</v>
      </c>
      <c r="R99">
        <f t="shared" si="10"/>
        <v>0</v>
      </c>
      <c r="S99">
        <v>6.2</v>
      </c>
      <c r="T99">
        <v>0</v>
      </c>
      <c r="U99">
        <v>1</v>
      </c>
      <c r="V99" s="5">
        <v>0</v>
      </c>
    </row>
    <row r="100" spans="1:22" x14ac:dyDescent="0.2">
      <c r="A100" t="s">
        <v>179</v>
      </c>
      <c r="B100" t="s">
        <v>29</v>
      </c>
      <c r="C100">
        <v>140</v>
      </c>
      <c r="D100">
        <v>136</v>
      </c>
      <c r="E100" s="1">
        <v>0.26</v>
      </c>
      <c r="F100">
        <v>19</v>
      </c>
      <c r="G100" s="2">
        <v>760000</v>
      </c>
      <c r="H100" s="7">
        <f t="shared" si="8"/>
        <v>98</v>
      </c>
      <c r="I100" t="s">
        <v>186</v>
      </c>
      <c r="J100">
        <f t="shared" si="7"/>
        <v>1</v>
      </c>
      <c r="K100">
        <f t="shared" si="11"/>
        <v>0</v>
      </c>
      <c r="L100">
        <f t="shared" si="11"/>
        <v>0</v>
      </c>
      <c r="M100">
        <f t="shared" si="11"/>
        <v>0</v>
      </c>
      <c r="N100">
        <f t="shared" si="11"/>
        <v>0</v>
      </c>
      <c r="O100">
        <f t="shared" si="11"/>
        <v>0</v>
      </c>
      <c r="P100">
        <f t="shared" si="11"/>
        <v>0</v>
      </c>
      <c r="Q100">
        <f t="shared" si="9"/>
        <v>0</v>
      </c>
      <c r="R100">
        <f t="shared" si="10"/>
        <v>0</v>
      </c>
      <c r="S100">
        <v>2</v>
      </c>
      <c r="T100">
        <v>0</v>
      </c>
      <c r="U100">
        <v>0</v>
      </c>
      <c r="V100" s="5">
        <v>0</v>
      </c>
    </row>
    <row r="101" spans="1:22" x14ac:dyDescent="0.2">
      <c r="A101" t="s">
        <v>145</v>
      </c>
      <c r="B101" t="s">
        <v>28</v>
      </c>
      <c r="C101">
        <v>156</v>
      </c>
      <c r="D101">
        <v>177</v>
      </c>
      <c r="E101" s="1">
        <v>0.29199999999999998</v>
      </c>
      <c r="F101">
        <v>35</v>
      </c>
      <c r="G101" s="2">
        <v>30000000</v>
      </c>
      <c r="H101" s="7">
        <f t="shared" si="8"/>
        <v>10</v>
      </c>
      <c r="I101" t="s">
        <v>186</v>
      </c>
      <c r="J101">
        <f t="shared" si="7"/>
        <v>1</v>
      </c>
      <c r="K101">
        <f t="shared" si="7"/>
        <v>0</v>
      </c>
      <c r="L101">
        <f t="shared" si="7"/>
        <v>0</v>
      </c>
      <c r="M101">
        <f t="shared" si="7"/>
        <v>0</v>
      </c>
      <c r="N101">
        <f t="shared" si="7"/>
        <v>0</v>
      </c>
      <c r="O101">
        <f t="shared" si="7"/>
        <v>0</v>
      </c>
      <c r="P101">
        <f t="shared" si="11"/>
        <v>0</v>
      </c>
      <c r="Q101">
        <f t="shared" si="9"/>
        <v>0</v>
      </c>
      <c r="R101">
        <f t="shared" si="10"/>
        <v>0</v>
      </c>
      <c r="S101">
        <v>8</v>
      </c>
      <c r="T101">
        <v>0</v>
      </c>
      <c r="U101">
        <v>0</v>
      </c>
      <c r="V101" s="5">
        <v>1</v>
      </c>
    </row>
    <row r="102" spans="1:22" x14ac:dyDescent="0.2">
      <c r="A102" t="s">
        <v>54</v>
      </c>
      <c r="B102" t="s">
        <v>34</v>
      </c>
      <c r="C102">
        <v>147</v>
      </c>
      <c r="D102">
        <v>142</v>
      </c>
      <c r="E102" s="1">
        <v>0.26800000000000002</v>
      </c>
      <c r="F102">
        <v>20</v>
      </c>
      <c r="G102" s="2">
        <v>760000</v>
      </c>
      <c r="H102" s="7">
        <f t="shared" si="8"/>
        <v>98</v>
      </c>
      <c r="I102" t="s">
        <v>76</v>
      </c>
      <c r="J102">
        <f t="shared" si="7"/>
        <v>0</v>
      </c>
      <c r="K102">
        <f t="shared" si="7"/>
        <v>0</v>
      </c>
      <c r="L102">
        <f t="shared" si="7"/>
        <v>1</v>
      </c>
      <c r="M102">
        <f t="shared" si="7"/>
        <v>0</v>
      </c>
      <c r="N102">
        <f t="shared" si="7"/>
        <v>0</v>
      </c>
      <c r="O102">
        <f t="shared" si="7"/>
        <v>0</v>
      </c>
      <c r="P102">
        <f t="shared" si="11"/>
        <v>0</v>
      </c>
      <c r="Q102">
        <f t="shared" si="9"/>
        <v>0</v>
      </c>
      <c r="R102">
        <f t="shared" si="10"/>
        <v>1</v>
      </c>
      <c r="S102">
        <v>2.2999999999999998</v>
      </c>
      <c r="T102">
        <v>0</v>
      </c>
      <c r="U102">
        <v>0</v>
      </c>
      <c r="V102" s="5">
        <v>0</v>
      </c>
    </row>
    <row r="103" spans="1:22" x14ac:dyDescent="0.2">
      <c r="A103" t="s">
        <v>128</v>
      </c>
      <c r="B103" t="s">
        <v>89</v>
      </c>
      <c r="C103">
        <v>120</v>
      </c>
      <c r="D103">
        <v>110</v>
      </c>
      <c r="E103" s="1">
        <v>0.251</v>
      </c>
      <c r="F103">
        <v>21</v>
      </c>
      <c r="G103" s="2">
        <v>2000000</v>
      </c>
      <c r="H103" s="7">
        <f t="shared" si="8"/>
        <v>95</v>
      </c>
      <c r="I103" t="s">
        <v>141</v>
      </c>
      <c r="J103">
        <f t="shared" si="7"/>
        <v>0</v>
      </c>
      <c r="K103">
        <f t="shared" si="7"/>
        <v>0</v>
      </c>
      <c r="L103">
        <f t="shared" si="7"/>
        <v>0</v>
      </c>
      <c r="M103">
        <f t="shared" si="7"/>
        <v>0</v>
      </c>
      <c r="N103">
        <f t="shared" si="7"/>
        <v>0</v>
      </c>
      <c r="O103">
        <f t="shared" si="7"/>
        <v>0</v>
      </c>
      <c r="P103">
        <f t="shared" si="11"/>
        <v>1</v>
      </c>
      <c r="Q103">
        <f t="shared" si="9"/>
        <v>0</v>
      </c>
      <c r="R103">
        <f t="shared" si="10"/>
        <v>0</v>
      </c>
      <c r="S103">
        <v>0.5</v>
      </c>
      <c r="T103">
        <v>0</v>
      </c>
      <c r="U103">
        <v>0</v>
      </c>
      <c r="V103" s="5">
        <v>0</v>
      </c>
    </row>
    <row r="104" spans="1:22" x14ac:dyDescent="0.2">
      <c r="A104" t="s">
        <v>159</v>
      </c>
      <c r="B104" t="s">
        <v>27</v>
      </c>
      <c r="C104">
        <v>150</v>
      </c>
      <c r="D104">
        <v>155</v>
      </c>
      <c r="E104" s="1">
        <v>0.26900000000000002</v>
      </c>
      <c r="F104">
        <v>22</v>
      </c>
      <c r="G104" s="2">
        <v>20000000</v>
      </c>
      <c r="H104" s="7">
        <f t="shared" si="8"/>
        <v>26</v>
      </c>
      <c r="I104" t="s">
        <v>186</v>
      </c>
      <c r="J104">
        <f t="shared" si="7"/>
        <v>1</v>
      </c>
      <c r="K104">
        <f t="shared" si="7"/>
        <v>0</v>
      </c>
      <c r="L104">
        <f t="shared" si="7"/>
        <v>0</v>
      </c>
      <c r="M104">
        <f t="shared" si="7"/>
        <v>0</v>
      </c>
      <c r="N104">
        <f t="shared" si="7"/>
        <v>0</v>
      </c>
      <c r="O104">
        <f t="shared" si="7"/>
        <v>0</v>
      </c>
      <c r="P104">
        <f t="shared" si="11"/>
        <v>0</v>
      </c>
      <c r="Q104">
        <f t="shared" si="9"/>
        <v>0</v>
      </c>
      <c r="R104">
        <f t="shared" si="10"/>
        <v>0</v>
      </c>
      <c r="S104">
        <v>2.9</v>
      </c>
      <c r="T104">
        <v>0</v>
      </c>
      <c r="U104">
        <v>0</v>
      </c>
      <c r="V104" s="5">
        <v>0</v>
      </c>
    </row>
    <row r="105" spans="1:22" x14ac:dyDescent="0.2">
      <c r="A105" t="s">
        <v>85</v>
      </c>
      <c r="B105" t="s">
        <v>86</v>
      </c>
      <c r="C105">
        <v>148</v>
      </c>
      <c r="D105">
        <v>160</v>
      </c>
      <c r="E105" s="1">
        <v>0.27200000000000002</v>
      </c>
      <c r="F105">
        <v>14</v>
      </c>
      <c r="G105" s="2">
        <v>11125000</v>
      </c>
      <c r="H105" s="7">
        <f t="shared" si="8"/>
        <v>59</v>
      </c>
      <c r="I105" t="s">
        <v>100</v>
      </c>
      <c r="J105">
        <f t="shared" si="7"/>
        <v>0</v>
      </c>
      <c r="K105">
        <f t="shared" si="7"/>
        <v>0</v>
      </c>
      <c r="L105">
        <f t="shared" si="7"/>
        <v>0</v>
      </c>
      <c r="M105">
        <f t="shared" si="7"/>
        <v>1</v>
      </c>
      <c r="N105">
        <f t="shared" si="7"/>
        <v>0</v>
      </c>
      <c r="O105">
        <f t="shared" si="7"/>
        <v>0</v>
      </c>
      <c r="P105">
        <f t="shared" si="11"/>
        <v>0</v>
      </c>
      <c r="Q105">
        <f t="shared" si="9"/>
        <v>1</v>
      </c>
      <c r="R105">
        <f t="shared" si="10"/>
        <v>0</v>
      </c>
      <c r="S105">
        <v>3.8</v>
      </c>
      <c r="T105">
        <v>0</v>
      </c>
      <c r="U105">
        <v>0</v>
      </c>
      <c r="V105" s="5">
        <v>0</v>
      </c>
    </row>
    <row r="106" spans="1:22" x14ac:dyDescent="0.2">
      <c r="A106" t="s">
        <v>108</v>
      </c>
      <c r="B106" t="s">
        <v>40</v>
      </c>
      <c r="C106">
        <v>136</v>
      </c>
      <c r="D106">
        <v>128</v>
      </c>
      <c r="E106" s="1">
        <v>0.25700000000000001</v>
      </c>
      <c r="F106">
        <v>25</v>
      </c>
      <c r="G106" s="2">
        <v>760000</v>
      </c>
      <c r="H106" s="7">
        <f t="shared" si="8"/>
        <v>98</v>
      </c>
      <c r="I106" t="s">
        <v>121</v>
      </c>
      <c r="J106">
        <f t="shared" si="7"/>
        <v>0</v>
      </c>
      <c r="K106">
        <f t="shared" si="7"/>
        <v>0</v>
      </c>
      <c r="L106">
        <f t="shared" si="7"/>
        <v>0</v>
      </c>
      <c r="M106">
        <f t="shared" si="7"/>
        <v>0</v>
      </c>
      <c r="N106">
        <f t="shared" si="7"/>
        <v>0</v>
      </c>
      <c r="O106">
        <f t="shared" si="7"/>
        <v>1</v>
      </c>
      <c r="P106">
        <f t="shared" si="11"/>
        <v>0</v>
      </c>
      <c r="Q106">
        <f t="shared" si="9"/>
        <v>1</v>
      </c>
      <c r="R106">
        <f t="shared" si="10"/>
        <v>0</v>
      </c>
      <c r="S106">
        <v>3.2</v>
      </c>
      <c r="T106">
        <v>0</v>
      </c>
      <c r="U106">
        <v>0</v>
      </c>
      <c r="V106" s="5">
        <v>0</v>
      </c>
    </row>
    <row r="107" spans="1:22" x14ac:dyDescent="0.2">
      <c r="A107" t="s">
        <v>183</v>
      </c>
      <c r="B107" t="s">
        <v>38</v>
      </c>
      <c r="C107">
        <v>125</v>
      </c>
      <c r="D107">
        <v>120</v>
      </c>
      <c r="E107" s="1">
        <v>0.25600000000000001</v>
      </c>
      <c r="F107">
        <v>13</v>
      </c>
      <c r="G107" s="2">
        <v>760000</v>
      </c>
      <c r="H107" s="7">
        <f t="shared" si="8"/>
        <v>98</v>
      </c>
      <c r="I107" t="s">
        <v>186</v>
      </c>
      <c r="J107">
        <f t="shared" si="7"/>
        <v>1</v>
      </c>
      <c r="K107">
        <f t="shared" si="7"/>
        <v>0</v>
      </c>
      <c r="L107">
        <f t="shared" si="7"/>
        <v>0</v>
      </c>
      <c r="M107">
        <f t="shared" si="7"/>
        <v>0</v>
      </c>
      <c r="N107">
        <f t="shared" si="7"/>
        <v>0</v>
      </c>
      <c r="O107">
        <f t="shared" si="7"/>
        <v>0</v>
      </c>
      <c r="P107">
        <f t="shared" si="11"/>
        <v>0</v>
      </c>
      <c r="Q107">
        <f t="shared" si="9"/>
        <v>0</v>
      </c>
      <c r="R107">
        <f t="shared" si="10"/>
        <v>0</v>
      </c>
      <c r="S107">
        <v>1.3</v>
      </c>
      <c r="T107">
        <v>0</v>
      </c>
      <c r="U107">
        <v>0</v>
      </c>
      <c r="V107" s="5">
        <v>0</v>
      </c>
    </row>
    <row r="108" spans="1:22" x14ac:dyDescent="0.2">
      <c r="A108" t="s">
        <v>79</v>
      </c>
      <c r="B108" t="s">
        <v>41</v>
      </c>
      <c r="C108">
        <v>150</v>
      </c>
      <c r="D108">
        <v>162</v>
      </c>
      <c r="E108" s="1">
        <v>0.28399999999999997</v>
      </c>
      <c r="F108">
        <v>27</v>
      </c>
      <c r="G108" s="2">
        <v>7000000</v>
      </c>
      <c r="H108" s="7">
        <f t="shared" si="8"/>
        <v>77</v>
      </c>
      <c r="I108" t="s">
        <v>100</v>
      </c>
      <c r="J108">
        <f t="shared" si="7"/>
        <v>0</v>
      </c>
      <c r="K108">
        <f t="shared" si="7"/>
        <v>0</v>
      </c>
      <c r="L108">
        <f t="shared" si="7"/>
        <v>0</v>
      </c>
      <c r="M108">
        <f t="shared" si="7"/>
        <v>1</v>
      </c>
      <c r="N108">
        <f t="shared" si="7"/>
        <v>0</v>
      </c>
      <c r="O108">
        <f t="shared" si="7"/>
        <v>0</v>
      </c>
      <c r="P108">
        <f t="shared" si="11"/>
        <v>0</v>
      </c>
      <c r="Q108">
        <f t="shared" si="9"/>
        <v>1</v>
      </c>
      <c r="R108">
        <f t="shared" si="10"/>
        <v>0</v>
      </c>
      <c r="S108">
        <v>4.0999999999999996</v>
      </c>
      <c r="T108">
        <v>0</v>
      </c>
      <c r="U108">
        <v>0</v>
      </c>
      <c r="V108" s="5">
        <v>0</v>
      </c>
    </row>
    <row r="109" spans="1:22" x14ac:dyDescent="0.2">
      <c r="A109" t="s">
        <v>26</v>
      </c>
      <c r="B109" t="s">
        <v>46</v>
      </c>
      <c r="C109">
        <v>134</v>
      </c>
      <c r="D109">
        <v>90</v>
      </c>
      <c r="E109" s="1">
        <v>0.222</v>
      </c>
      <c r="F109">
        <v>6</v>
      </c>
      <c r="G109" s="2">
        <v>760000</v>
      </c>
      <c r="H109" s="7">
        <f t="shared" si="8"/>
        <v>98</v>
      </c>
      <c r="I109" t="s">
        <v>47</v>
      </c>
      <c r="J109">
        <f t="shared" si="7"/>
        <v>0</v>
      </c>
      <c r="K109">
        <f t="shared" si="7"/>
        <v>1</v>
      </c>
      <c r="L109">
        <f t="shared" si="7"/>
        <v>0</v>
      </c>
      <c r="M109">
        <f t="shared" si="7"/>
        <v>0</v>
      </c>
      <c r="N109">
        <f t="shared" si="7"/>
        <v>0</v>
      </c>
      <c r="O109">
        <f t="shared" si="7"/>
        <v>0</v>
      </c>
      <c r="P109">
        <f t="shared" si="11"/>
        <v>0</v>
      </c>
      <c r="Q109">
        <f t="shared" si="9"/>
        <v>0</v>
      </c>
      <c r="R109">
        <f t="shared" si="10"/>
        <v>0</v>
      </c>
      <c r="S109">
        <v>1.7</v>
      </c>
      <c r="T109">
        <v>0</v>
      </c>
      <c r="U109">
        <v>1</v>
      </c>
      <c r="V109" s="5">
        <v>0</v>
      </c>
    </row>
    <row r="110" spans="1:22" x14ac:dyDescent="0.2">
      <c r="A110" t="s">
        <v>119</v>
      </c>
      <c r="B110" t="s">
        <v>120</v>
      </c>
      <c r="C110">
        <v>122</v>
      </c>
      <c r="D110">
        <v>108</v>
      </c>
      <c r="E110" s="1">
        <v>0.23699999999999999</v>
      </c>
      <c r="F110">
        <v>16</v>
      </c>
      <c r="G110" s="2">
        <v>4000000</v>
      </c>
      <c r="H110" s="7">
        <f t="shared" si="8"/>
        <v>93</v>
      </c>
      <c r="I110" t="s">
        <v>121</v>
      </c>
      <c r="J110">
        <f t="shared" si="7"/>
        <v>0</v>
      </c>
      <c r="K110">
        <f t="shared" si="7"/>
        <v>0</v>
      </c>
      <c r="L110">
        <f t="shared" si="7"/>
        <v>0</v>
      </c>
      <c r="M110">
        <f t="shared" si="7"/>
        <v>0</v>
      </c>
      <c r="N110">
        <f t="shared" si="7"/>
        <v>0</v>
      </c>
      <c r="O110">
        <f t="shared" si="7"/>
        <v>1</v>
      </c>
      <c r="P110">
        <f t="shared" si="11"/>
        <v>0</v>
      </c>
      <c r="Q110">
        <f t="shared" si="9"/>
        <v>1</v>
      </c>
      <c r="R110">
        <f t="shared" si="10"/>
        <v>0</v>
      </c>
      <c r="S110">
        <v>1</v>
      </c>
      <c r="T110">
        <v>0</v>
      </c>
      <c r="U110">
        <v>0</v>
      </c>
      <c r="V110" s="5">
        <v>0</v>
      </c>
    </row>
    <row r="111" spans="1:22" x14ac:dyDescent="0.2">
      <c r="A111" t="s">
        <v>51</v>
      </c>
      <c r="B111" t="s">
        <v>52</v>
      </c>
      <c r="C111">
        <v>152</v>
      </c>
      <c r="D111">
        <v>162</v>
      </c>
      <c r="E111" s="1">
        <v>0.26700000000000002</v>
      </c>
      <c r="F111">
        <v>23</v>
      </c>
      <c r="G111" s="2">
        <v>26000000</v>
      </c>
      <c r="H111" s="7">
        <f t="shared" si="8"/>
        <v>15</v>
      </c>
      <c r="I111" t="s">
        <v>76</v>
      </c>
      <c r="J111">
        <f t="shared" si="7"/>
        <v>0</v>
      </c>
      <c r="K111">
        <f t="shared" si="7"/>
        <v>0</v>
      </c>
      <c r="L111">
        <f t="shared" si="7"/>
        <v>1</v>
      </c>
      <c r="M111">
        <f t="shared" si="7"/>
        <v>0</v>
      </c>
      <c r="N111">
        <f t="shared" si="7"/>
        <v>0</v>
      </c>
      <c r="O111">
        <f t="shared" si="7"/>
        <v>0</v>
      </c>
      <c r="P111">
        <f t="shared" si="11"/>
        <v>0</v>
      </c>
      <c r="Q111">
        <f t="shared" si="9"/>
        <v>0</v>
      </c>
      <c r="R111">
        <f t="shared" si="10"/>
        <v>1</v>
      </c>
      <c r="S111">
        <v>3.1</v>
      </c>
      <c r="T111">
        <v>0</v>
      </c>
      <c r="U111">
        <v>0</v>
      </c>
      <c r="V111" s="5">
        <v>0</v>
      </c>
    </row>
    <row r="112" spans="1:22" x14ac:dyDescent="0.2">
      <c r="A112" t="s">
        <v>50</v>
      </c>
      <c r="B112" t="s">
        <v>43</v>
      </c>
      <c r="C112">
        <v>150</v>
      </c>
      <c r="D112">
        <v>148</v>
      </c>
      <c r="E112" s="1">
        <v>0.26</v>
      </c>
      <c r="F112">
        <v>41</v>
      </c>
      <c r="G112" s="2">
        <v>20000000</v>
      </c>
      <c r="H112" s="7">
        <f t="shared" si="8"/>
        <v>26</v>
      </c>
      <c r="I112" t="s">
        <v>76</v>
      </c>
      <c r="J112">
        <f t="shared" si="7"/>
        <v>0</v>
      </c>
      <c r="K112">
        <f t="shared" si="7"/>
        <v>0</v>
      </c>
      <c r="L112">
        <f t="shared" si="7"/>
        <v>1</v>
      </c>
      <c r="M112">
        <f t="shared" si="7"/>
        <v>0</v>
      </c>
      <c r="N112">
        <f t="shared" si="7"/>
        <v>0</v>
      </c>
      <c r="O112">
        <f t="shared" si="7"/>
        <v>0</v>
      </c>
      <c r="P112">
        <f t="shared" si="11"/>
        <v>0</v>
      </c>
      <c r="Q112">
        <f t="shared" si="9"/>
        <v>0</v>
      </c>
      <c r="R112">
        <f t="shared" si="10"/>
        <v>1</v>
      </c>
      <c r="S112">
        <v>4</v>
      </c>
      <c r="T112">
        <v>0</v>
      </c>
      <c r="U112">
        <v>0</v>
      </c>
      <c r="V112" s="5">
        <v>0</v>
      </c>
    </row>
    <row r="113" spans="1:22" x14ac:dyDescent="0.2">
      <c r="A113" t="s">
        <v>154</v>
      </c>
      <c r="B113" t="s">
        <v>83</v>
      </c>
      <c r="C113">
        <v>147</v>
      </c>
      <c r="D113">
        <v>150</v>
      </c>
      <c r="E113" s="1">
        <v>0.26400000000000001</v>
      </c>
      <c r="F113">
        <v>25</v>
      </c>
      <c r="G113" s="2">
        <v>4800000</v>
      </c>
      <c r="H113" s="7">
        <f t="shared" si="8"/>
        <v>87</v>
      </c>
      <c r="I113" t="s">
        <v>186</v>
      </c>
      <c r="J113">
        <f t="shared" si="7"/>
        <v>1</v>
      </c>
      <c r="K113">
        <f t="shared" si="7"/>
        <v>0</v>
      </c>
      <c r="L113">
        <f t="shared" si="7"/>
        <v>0</v>
      </c>
      <c r="M113">
        <f t="shared" si="7"/>
        <v>0</v>
      </c>
      <c r="N113">
        <f t="shared" si="7"/>
        <v>0</v>
      </c>
      <c r="O113">
        <f t="shared" si="7"/>
        <v>0</v>
      </c>
      <c r="P113">
        <f t="shared" si="7"/>
        <v>0</v>
      </c>
      <c r="Q113">
        <f t="shared" si="9"/>
        <v>0</v>
      </c>
      <c r="R113">
        <f t="shared" si="10"/>
        <v>0</v>
      </c>
      <c r="S113">
        <v>3.5</v>
      </c>
      <c r="T113">
        <v>0</v>
      </c>
      <c r="U113">
        <v>0</v>
      </c>
      <c r="V113" s="5">
        <v>0</v>
      </c>
    </row>
    <row r="114" spans="1:22" x14ac:dyDescent="0.2">
      <c r="A114" t="s">
        <v>58</v>
      </c>
      <c r="B114" t="s">
        <v>32</v>
      </c>
      <c r="C114">
        <v>142</v>
      </c>
      <c r="D114">
        <v>128</v>
      </c>
      <c r="E114" s="1">
        <v>0.248</v>
      </c>
      <c r="F114">
        <v>27</v>
      </c>
      <c r="G114" s="2">
        <v>12000000</v>
      </c>
      <c r="H114" s="7">
        <f t="shared" si="8"/>
        <v>50</v>
      </c>
      <c r="I114" t="s">
        <v>76</v>
      </c>
      <c r="J114">
        <f t="shared" si="7"/>
        <v>0</v>
      </c>
      <c r="K114">
        <f t="shared" si="7"/>
        <v>0</v>
      </c>
      <c r="L114">
        <f t="shared" si="7"/>
        <v>1</v>
      </c>
      <c r="M114">
        <f t="shared" si="7"/>
        <v>0</v>
      </c>
      <c r="N114">
        <f t="shared" si="7"/>
        <v>0</v>
      </c>
      <c r="O114">
        <f t="shared" si="7"/>
        <v>0</v>
      </c>
      <c r="P114">
        <f t="shared" si="7"/>
        <v>0</v>
      </c>
      <c r="Q114">
        <f t="shared" si="9"/>
        <v>0</v>
      </c>
      <c r="R114">
        <f t="shared" si="10"/>
        <v>1</v>
      </c>
      <c r="S114">
        <v>2.7</v>
      </c>
      <c r="T114">
        <v>0</v>
      </c>
      <c r="U114">
        <v>0</v>
      </c>
      <c r="V114" s="5">
        <v>0</v>
      </c>
    </row>
    <row r="115" spans="1:22" x14ac:dyDescent="0.2">
      <c r="A115" t="s">
        <v>144</v>
      </c>
      <c r="B115" t="s">
        <v>41</v>
      </c>
      <c r="C115">
        <v>154</v>
      </c>
      <c r="D115">
        <v>184</v>
      </c>
      <c r="E115" s="1">
        <v>0.32400000000000001</v>
      </c>
      <c r="F115">
        <v>38</v>
      </c>
      <c r="G115" s="2">
        <v>17000000</v>
      </c>
      <c r="H115" s="7">
        <f t="shared" si="8"/>
        <v>36</v>
      </c>
      <c r="I115" t="s">
        <v>186</v>
      </c>
      <c r="J115">
        <f t="shared" si="7"/>
        <v>1</v>
      </c>
      <c r="K115">
        <f t="shared" si="7"/>
        <v>0</v>
      </c>
      <c r="L115">
        <f t="shared" si="7"/>
        <v>0</v>
      </c>
      <c r="M115">
        <f t="shared" si="7"/>
        <v>0</v>
      </c>
      <c r="N115">
        <f t="shared" si="7"/>
        <v>0</v>
      </c>
      <c r="O115">
        <f t="shared" si="7"/>
        <v>0</v>
      </c>
      <c r="P115">
        <f t="shared" si="7"/>
        <v>0</v>
      </c>
      <c r="Q115">
        <f t="shared" si="9"/>
        <v>0</v>
      </c>
      <c r="R115">
        <f t="shared" si="10"/>
        <v>0</v>
      </c>
      <c r="S115">
        <v>8.5</v>
      </c>
      <c r="T115">
        <v>0</v>
      </c>
      <c r="U115">
        <v>0</v>
      </c>
      <c r="V115" s="5">
        <v>1</v>
      </c>
    </row>
    <row r="116" spans="1:22" x14ac:dyDescent="0.2">
      <c r="A116" t="s">
        <v>61</v>
      </c>
      <c r="B116" t="s">
        <v>40</v>
      </c>
      <c r="C116">
        <v>130</v>
      </c>
      <c r="D116">
        <v>115</v>
      </c>
      <c r="E116" s="1">
        <v>0.24299999999999999</v>
      </c>
      <c r="F116">
        <v>20</v>
      </c>
      <c r="G116" s="2">
        <v>760000</v>
      </c>
      <c r="H116" s="7">
        <f t="shared" si="8"/>
        <v>98</v>
      </c>
      <c r="I116" t="s">
        <v>76</v>
      </c>
      <c r="J116">
        <f t="shared" si="7"/>
        <v>0</v>
      </c>
      <c r="K116">
        <f t="shared" si="7"/>
        <v>0</v>
      </c>
      <c r="L116">
        <f t="shared" si="7"/>
        <v>1</v>
      </c>
      <c r="M116">
        <f t="shared" si="7"/>
        <v>0</v>
      </c>
      <c r="N116">
        <f t="shared" si="7"/>
        <v>0</v>
      </c>
      <c r="O116">
        <f t="shared" si="7"/>
        <v>0</v>
      </c>
      <c r="P116">
        <f t="shared" si="7"/>
        <v>0</v>
      </c>
      <c r="Q116">
        <f t="shared" si="9"/>
        <v>0</v>
      </c>
      <c r="R116">
        <f t="shared" si="10"/>
        <v>1</v>
      </c>
      <c r="S116">
        <v>1.6</v>
      </c>
      <c r="T116">
        <v>0</v>
      </c>
      <c r="U116">
        <v>0</v>
      </c>
      <c r="V116" s="5">
        <v>0</v>
      </c>
    </row>
    <row r="117" spans="1:22" x14ac:dyDescent="0.2">
      <c r="A117" t="s">
        <v>9</v>
      </c>
      <c r="B117" t="s">
        <v>29</v>
      </c>
      <c r="C117">
        <v>152</v>
      </c>
      <c r="D117">
        <v>130</v>
      </c>
      <c r="E117" s="1">
        <v>0.23599999999999999</v>
      </c>
      <c r="F117">
        <v>30</v>
      </c>
      <c r="G117" s="2">
        <v>20500000</v>
      </c>
      <c r="H117" s="7">
        <f t="shared" si="8"/>
        <v>25</v>
      </c>
      <c r="I117" t="s">
        <v>47</v>
      </c>
      <c r="J117">
        <f t="shared" ref="J117:P141" si="12">IF($I117=J$1,1,0)</f>
        <v>0</v>
      </c>
      <c r="K117">
        <f t="shared" si="12"/>
        <v>1</v>
      </c>
      <c r="L117">
        <f t="shared" si="12"/>
        <v>0</v>
      </c>
      <c r="M117">
        <f t="shared" si="12"/>
        <v>0</v>
      </c>
      <c r="N117">
        <f t="shared" si="12"/>
        <v>0</v>
      </c>
      <c r="O117">
        <f t="shared" si="12"/>
        <v>0</v>
      </c>
      <c r="P117">
        <f t="shared" si="12"/>
        <v>0</v>
      </c>
      <c r="Q117">
        <f t="shared" si="9"/>
        <v>0</v>
      </c>
      <c r="R117">
        <f t="shared" si="10"/>
        <v>0</v>
      </c>
      <c r="S117">
        <v>2.1</v>
      </c>
      <c r="T117">
        <v>0</v>
      </c>
      <c r="U117">
        <v>0</v>
      </c>
      <c r="V117" s="5">
        <v>0</v>
      </c>
    </row>
    <row r="118" spans="1:22" x14ac:dyDescent="0.2">
      <c r="A118" t="s">
        <v>21</v>
      </c>
      <c r="B118" t="s">
        <v>41</v>
      </c>
      <c r="C118">
        <v>120</v>
      </c>
      <c r="D118">
        <v>104</v>
      </c>
      <c r="E118" s="1">
        <v>0.26900000000000002</v>
      </c>
      <c r="F118">
        <v>20</v>
      </c>
      <c r="G118" s="2">
        <v>4040000</v>
      </c>
      <c r="H118" s="7">
        <f t="shared" si="8"/>
        <v>92</v>
      </c>
      <c r="I118" t="s">
        <v>47</v>
      </c>
      <c r="J118">
        <f t="shared" si="12"/>
        <v>0</v>
      </c>
      <c r="K118">
        <f t="shared" si="12"/>
        <v>1</v>
      </c>
      <c r="L118">
        <f t="shared" si="12"/>
        <v>0</v>
      </c>
      <c r="M118">
        <f t="shared" si="12"/>
        <v>0</v>
      </c>
      <c r="N118">
        <f t="shared" si="12"/>
        <v>0</v>
      </c>
      <c r="O118">
        <f t="shared" si="12"/>
        <v>0</v>
      </c>
      <c r="P118">
        <f t="shared" si="12"/>
        <v>0</v>
      </c>
      <c r="Q118">
        <f t="shared" si="9"/>
        <v>0</v>
      </c>
      <c r="R118">
        <f t="shared" si="10"/>
        <v>0</v>
      </c>
      <c r="S118">
        <v>3.7</v>
      </c>
      <c r="T118">
        <v>0</v>
      </c>
      <c r="U118">
        <v>0</v>
      </c>
      <c r="V118" s="5">
        <v>0</v>
      </c>
    </row>
    <row r="119" spans="1:22" x14ac:dyDescent="0.2">
      <c r="A119" t="s">
        <v>152</v>
      </c>
      <c r="B119" t="s">
        <v>86</v>
      </c>
      <c r="C119">
        <v>145</v>
      </c>
      <c r="D119">
        <v>155</v>
      </c>
      <c r="E119" s="1">
        <v>0.28499999999999998</v>
      </c>
      <c r="F119">
        <v>27</v>
      </c>
      <c r="G119" s="2">
        <v>17000000</v>
      </c>
      <c r="H119" s="7">
        <f t="shared" si="8"/>
        <v>36</v>
      </c>
      <c r="I119" t="s">
        <v>186</v>
      </c>
      <c r="J119">
        <f t="shared" si="12"/>
        <v>1</v>
      </c>
      <c r="K119">
        <f t="shared" si="12"/>
        <v>0</v>
      </c>
      <c r="L119">
        <f t="shared" si="12"/>
        <v>0</v>
      </c>
      <c r="M119">
        <f t="shared" si="12"/>
        <v>0</v>
      </c>
      <c r="N119">
        <f t="shared" si="12"/>
        <v>0</v>
      </c>
      <c r="O119">
        <f t="shared" si="12"/>
        <v>0</v>
      </c>
      <c r="P119">
        <f t="shared" si="12"/>
        <v>0</v>
      </c>
      <c r="Q119">
        <f t="shared" si="9"/>
        <v>0</v>
      </c>
      <c r="R119">
        <f t="shared" si="10"/>
        <v>0</v>
      </c>
      <c r="S119">
        <v>3.9</v>
      </c>
      <c r="T119">
        <v>0</v>
      </c>
      <c r="U119">
        <v>0</v>
      </c>
      <c r="V119" s="5">
        <v>0</v>
      </c>
    </row>
    <row r="120" spans="1:22" x14ac:dyDescent="0.2">
      <c r="A120" t="s">
        <v>19</v>
      </c>
      <c r="B120" t="s">
        <v>39</v>
      </c>
      <c r="C120">
        <v>144</v>
      </c>
      <c r="D120">
        <v>133</v>
      </c>
      <c r="E120" s="1">
        <v>0.27700000000000002</v>
      </c>
      <c r="F120">
        <v>31</v>
      </c>
      <c r="G120" s="2">
        <v>760000</v>
      </c>
      <c r="H120" s="7">
        <f t="shared" si="8"/>
        <v>98</v>
      </c>
      <c r="I120" t="s">
        <v>47</v>
      </c>
      <c r="J120">
        <f t="shared" si="12"/>
        <v>0</v>
      </c>
      <c r="K120">
        <f t="shared" si="12"/>
        <v>1</v>
      </c>
      <c r="L120">
        <f t="shared" si="12"/>
        <v>0</v>
      </c>
      <c r="M120">
        <f t="shared" si="12"/>
        <v>0</v>
      </c>
      <c r="N120">
        <f t="shared" si="12"/>
        <v>0</v>
      </c>
      <c r="O120">
        <f t="shared" si="12"/>
        <v>0</v>
      </c>
      <c r="P120">
        <f t="shared" si="12"/>
        <v>0</v>
      </c>
      <c r="Q120">
        <f t="shared" si="9"/>
        <v>0</v>
      </c>
      <c r="R120">
        <f t="shared" si="10"/>
        <v>0</v>
      </c>
      <c r="S120">
        <v>3.3</v>
      </c>
      <c r="T120">
        <v>0</v>
      </c>
      <c r="U120">
        <v>1</v>
      </c>
      <c r="V120" s="5">
        <v>0</v>
      </c>
    </row>
    <row r="121" spans="1:22" x14ac:dyDescent="0.2">
      <c r="A121" t="s">
        <v>122</v>
      </c>
      <c r="B121" t="s">
        <v>28</v>
      </c>
      <c r="C121">
        <v>155</v>
      </c>
      <c r="D121">
        <v>180</v>
      </c>
      <c r="E121" s="1">
        <v>0.30299999999999999</v>
      </c>
      <c r="F121">
        <v>44</v>
      </c>
      <c r="G121" s="2">
        <v>70000000</v>
      </c>
      <c r="H121" s="7">
        <f t="shared" si="8"/>
        <v>1</v>
      </c>
      <c r="I121" t="s">
        <v>141</v>
      </c>
      <c r="J121">
        <f t="shared" si="12"/>
        <v>0</v>
      </c>
      <c r="K121">
        <f t="shared" si="12"/>
        <v>0</v>
      </c>
      <c r="L121">
        <f t="shared" si="12"/>
        <v>0</v>
      </c>
      <c r="M121">
        <f t="shared" si="12"/>
        <v>0</v>
      </c>
      <c r="N121">
        <f t="shared" si="12"/>
        <v>0</v>
      </c>
      <c r="O121">
        <f t="shared" si="12"/>
        <v>0</v>
      </c>
      <c r="P121">
        <f t="shared" si="12"/>
        <v>1</v>
      </c>
      <c r="Q121">
        <f t="shared" si="9"/>
        <v>0</v>
      </c>
      <c r="R121">
        <f t="shared" si="10"/>
        <v>0</v>
      </c>
      <c r="S121">
        <v>9.5</v>
      </c>
      <c r="T121">
        <v>0</v>
      </c>
      <c r="U121">
        <v>0</v>
      </c>
      <c r="V121" s="5">
        <v>0</v>
      </c>
    </row>
    <row r="122" spans="1:22" x14ac:dyDescent="0.2">
      <c r="A122" t="s">
        <v>56</v>
      </c>
      <c r="B122" t="s">
        <v>57</v>
      </c>
      <c r="C122">
        <v>149</v>
      </c>
      <c r="D122">
        <v>138</v>
      </c>
      <c r="E122" s="1">
        <v>0.246</v>
      </c>
      <c r="F122">
        <v>29</v>
      </c>
      <c r="G122" s="2">
        <v>760000</v>
      </c>
      <c r="H122" s="7">
        <f t="shared" si="8"/>
        <v>98</v>
      </c>
      <c r="I122" t="s">
        <v>76</v>
      </c>
      <c r="J122">
        <f t="shared" si="12"/>
        <v>0</v>
      </c>
      <c r="K122">
        <f t="shared" si="12"/>
        <v>0</v>
      </c>
      <c r="L122">
        <f t="shared" si="12"/>
        <v>1</v>
      </c>
      <c r="M122">
        <f t="shared" si="12"/>
        <v>0</v>
      </c>
      <c r="N122">
        <f t="shared" si="12"/>
        <v>0</v>
      </c>
      <c r="O122">
        <f t="shared" si="12"/>
        <v>0</v>
      </c>
      <c r="P122">
        <f t="shared" si="12"/>
        <v>0</v>
      </c>
      <c r="Q122">
        <f t="shared" si="9"/>
        <v>0</v>
      </c>
      <c r="R122">
        <f t="shared" si="10"/>
        <v>1</v>
      </c>
      <c r="S122">
        <v>2.5</v>
      </c>
      <c r="T122">
        <v>0</v>
      </c>
      <c r="U122">
        <v>1</v>
      </c>
      <c r="V122" s="5">
        <v>0</v>
      </c>
    </row>
    <row r="123" spans="1:22" x14ac:dyDescent="0.2">
      <c r="A123" t="s">
        <v>160</v>
      </c>
      <c r="B123" t="s">
        <v>43</v>
      </c>
      <c r="C123">
        <v>135</v>
      </c>
      <c r="D123">
        <v>132</v>
      </c>
      <c r="E123" s="1">
        <v>0.26500000000000001</v>
      </c>
      <c r="F123">
        <v>14</v>
      </c>
      <c r="G123" s="2">
        <v>19500000</v>
      </c>
      <c r="H123" s="7">
        <f t="shared" si="8"/>
        <v>31</v>
      </c>
      <c r="I123" t="s">
        <v>186</v>
      </c>
      <c r="J123">
        <f t="shared" si="12"/>
        <v>1</v>
      </c>
      <c r="K123">
        <f t="shared" si="12"/>
        <v>0</v>
      </c>
      <c r="L123">
        <f t="shared" si="12"/>
        <v>0</v>
      </c>
      <c r="M123">
        <f t="shared" si="12"/>
        <v>0</v>
      </c>
      <c r="N123">
        <f t="shared" si="12"/>
        <v>0</v>
      </c>
      <c r="O123">
        <f t="shared" si="12"/>
        <v>0</v>
      </c>
      <c r="P123">
        <f t="shared" si="12"/>
        <v>0</v>
      </c>
      <c r="Q123">
        <f t="shared" si="9"/>
        <v>0</v>
      </c>
      <c r="R123">
        <f t="shared" si="10"/>
        <v>0</v>
      </c>
      <c r="S123">
        <v>1.6</v>
      </c>
      <c r="T123">
        <v>0</v>
      </c>
      <c r="U123">
        <v>0</v>
      </c>
      <c r="V123" s="5">
        <v>0</v>
      </c>
    </row>
    <row r="124" spans="1:22" x14ac:dyDescent="0.2">
      <c r="A124" t="s">
        <v>178</v>
      </c>
      <c r="B124" t="s">
        <v>38</v>
      </c>
      <c r="C124">
        <v>153</v>
      </c>
      <c r="D124">
        <v>182</v>
      </c>
      <c r="E124" s="1">
        <v>0.30399999999999999</v>
      </c>
      <c r="F124">
        <v>11</v>
      </c>
      <c r="G124" s="2">
        <v>760000</v>
      </c>
      <c r="H124" s="7">
        <f t="shared" si="8"/>
        <v>98</v>
      </c>
      <c r="I124" t="s">
        <v>186</v>
      </c>
      <c r="J124">
        <f t="shared" si="12"/>
        <v>1</v>
      </c>
      <c r="K124">
        <f t="shared" si="12"/>
        <v>0</v>
      </c>
      <c r="L124">
        <f t="shared" si="12"/>
        <v>0</v>
      </c>
      <c r="M124">
        <f t="shared" si="12"/>
        <v>0</v>
      </c>
      <c r="N124">
        <f t="shared" si="12"/>
        <v>0</v>
      </c>
      <c r="O124">
        <f t="shared" si="12"/>
        <v>0</v>
      </c>
      <c r="P124">
        <f t="shared" si="12"/>
        <v>0</v>
      </c>
      <c r="Q124">
        <f t="shared" si="9"/>
        <v>0</v>
      </c>
      <c r="R124">
        <f t="shared" si="10"/>
        <v>0</v>
      </c>
      <c r="S124">
        <v>4.4000000000000004</v>
      </c>
      <c r="T124">
        <v>0</v>
      </c>
      <c r="U124">
        <v>0</v>
      </c>
      <c r="V124" s="5">
        <v>0</v>
      </c>
    </row>
    <row r="125" spans="1:22" x14ac:dyDescent="0.2">
      <c r="A125" t="s">
        <v>173</v>
      </c>
      <c r="B125" t="s">
        <v>96</v>
      </c>
      <c r="C125">
        <v>145</v>
      </c>
      <c r="D125">
        <v>142</v>
      </c>
      <c r="E125" s="1">
        <v>0.26400000000000001</v>
      </c>
      <c r="F125">
        <v>20</v>
      </c>
      <c r="G125" s="2">
        <v>4700000</v>
      </c>
      <c r="H125" s="7">
        <f t="shared" si="8"/>
        <v>90</v>
      </c>
      <c r="I125" t="s">
        <v>186</v>
      </c>
      <c r="J125">
        <f t="shared" si="12"/>
        <v>1</v>
      </c>
      <c r="K125">
        <f t="shared" si="12"/>
        <v>0</v>
      </c>
      <c r="L125">
        <f t="shared" si="12"/>
        <v>0</v>
      </c>
      <c r="M125">
        <f t="shared" si="12"/>
        <v>0</v>
      </c>
      <c r="N125">
        <f t="shared" si="12"/>
        <v>0</v>
      </c>
      <c r="O125">
        <f t="shared" si="12"/>
        <v>0</v>
      </c>
      <c r="P125">
        <f t="shared" si="12"/>
        <v>0</v>
      </c>
      <c r="Q125">
        <f t="shared" si="9"/>
        <v>0</v>
      </c>
      <c r="R125">
        <f t="shared" si="10"/>
        <v>0</v>
      </c>
      <c r="S125">
        <v>2.5</v>
      </c>
      <c r="T125">
        <v>0</v>
      </c>
      <c r="U125">
        <v>0</v>
      </c>
      <c r="V125" s="5">
        <v>0</v>
      </c>
    </row>
    <row r="126" spans="1:22" x14ac:dyDescent="0.2">
      <c r="A126" t="s">
        <v>162</v>
      </c>
      <c r="B126" t="s">
        <v>28</v>
      </c>
      <c r="C126">
        <v>146</v>
      </c>
      <c r="D126">
        <v>148</v>
      </c>
      <c r="E126" s="1">
        <v>0.26400000000000001</v>
      </c>
      <c r="F126">
        <v>28</v>
      </c>
      <c r="G126" s="2">
        <v>14000000</v>
      </c>
      <c r="H126" s="7">
        <f t="shared" si="8"/>
        <v>44</v>
      </c>
      <c r="I126" t="s">
        <v>186</v>
      </c>
      <c r="J126">
        <f t="shared" si="12"/>
        <v>1</v>
      </c>
      <c r="K126">
        <f t="shared" si="12"/>
        <v>0</v>
      </c>
      <c r="L126">
        <f t="shared" si="12"/>
        <v>0</v>
      </c>
      <c r="M126">
        <f t="shared" si="12"/>
        <v>0</v>
      </c>
      <c r="N126">
        <f t="shared" si="12"/>
        <v>0</v>
      </c>
      <c r="O126">
        <f t="shared" si="12"/>
        <v>0</v>
      </c>
      <c r="P126">
        <f t="shared" si="12"/>
        <v>0</v>
      </c>
      <c r="Q126">
        <f t="shared" si="9"/>
        <v>0</v>
      </c>
      <c r="R126">
        <f t="shared" si="10"/>
        <v>0</v>
      </c>
      <c r="S126">
        <v>3.5</v>
      </c>
      <c r="T126">
        <v>0</v>
      </c>
      <c r="U126">
        <v>0</v>
      </c>
      <c r="V126" s="5">
        <v>0</v>
      </c>
    </row>
    <row r="127" spans="1:22" x14ac:dyDescent="0.2">
      <c r="A127" t="s">
        <v>114</v>
      </c>
      <c r="B127" t="s">
        <v>60</v>
      </c>
      <c r="C127">
        <v>134</v>
      </c>
      <c r="D127">
        <v>138</v>
      </c>
      <c r="E127" s="1">
        <v>0.27100000000000002</v>
      </c>
      <c r="F127">
        <v>9</v>
      </c>
      <c r="G127" s="2">
        <v>12000000</v>
      </c>
      <c r="H127" s="7">
        <f t="shared" si="8"/>
        <v>50</v>
      </c>
      <c r="I127" t="s">
        <v>121</v>
      </c>
      <c r="J127">
        <f t="shared" si="12"/>
        <v>0</v>
      </c>
      <c r="K127">
        <f t="shared" si="12"/>
        <v>0</v>
      </c>
      <c r="L127">
        <f t="shared" si="12"/>
        <v>0</v>
      </c>
      <c r="M127">
        <f t="shared" si="12"/>
        <v>0</v>
      </c>
      <c r="N127">
        <f t="shared" si="12"/>
        <v>0</v>
      </c>
      <c r="O127">
        <f t="shared" si="12"/>
        <v>1</v>
      </c>
      <c r="P127">
        <f t="shared" si="12"/>
        <v>0</v>
      </c>
      <c r="Q127">
        <f t="shared" si="9"/>
        <v>1</v>
      </c>
      <c r="R127">
        <f t="shared" si="10"/>
        <v>0</v>
      </c>
      <c r="S127">
        <v>1.2</v>
      </c>
      <c r="T127">
        <v>0</v>
      </c>
      <c r="U127">
        <v>0</v>
      </c>
      <c r="V127" s="5">
        <v>0</v>
      </c>
    </row>
    <row r="128" spans="1:22" x14ac:dyDescent="0.2">
      <c r="A128" t="s">
        <v>104</v>
      </c>
      <c r="B128" t="s">
        <v>27</v>
      </c>
      <c r="C128">
        <v>152</v>
      </c>
      <c r="D128">
        <v>178</v>
      </c>
      <c r="E128" s="1">
        <v>0.29299999999999998</v>
      </c>
      <c r="F128">
        <v>27</v>
      </c>
      <c r="G128" s="2">
        <v>30000000</v>
      </c>
      <c r="H128" s="7">
        <f t="shared" si="8"/>
        <v>10</v>
      </c>
      <c r="I128" t="s">
        <v>121</v>
      </c>
      <c r="J128">
        <f t="shared" si="12"/>
        <v>0</v>
      </c>
      <c r="K128">
        <f t="shared" si="12"/>
        <v>0</v>
      </c>
      <c r="L128">
        <f t="shared" si="12"/>
        <v>0</v>
      </c>
      <c r="M128">
        <f t="shared" si="12"/>
        <v>0</v>
      </c>
      <c r="N128">
        <f t="shared" si="12"/>
        <v>0</v>
      </c>
      <c r="O128">
        <f t="shared" si="12"/>
        <v>1</v>
      </c>
      <c r="P128">
        <f t="shared" si="12"/>
        <v>0</v>
      </c>
      <c r="Q128">
        <f t="shared" si="9"/>
        <v>1</v>
      </c>
      <c r="R128">
        <f t="shared" si="10"/>
        <v>0</v>
      </c>
      <c r="S128">
        <v>5</v>
      </c>
      <c r="T128">
        <v>0</v>
      </c>
      <c r="U128">
        <v>1</v>
      </c>
      <c r="V128" s="5">
        <v>0</v>
      </c>
    </row>
    <row r="129" spans="1:22" x14ac:dyDescent="0.2">
      <c r="A129" t="s">
        <v>176</v>
      </c>
      <c r="B129" t="s">
        <v>89</v>
      </c>
      <c r="C129">
        <v>138</v>
      </c>
      <c r="D129">
        <v>130</v>
      </c>
      <c r="E129" s="1">
        <v>0.255</v>
      </c>
      <c r="F129">
        <v>15</v>
      </c>
      <c r="G129" s="2">
        <v>4800000</v>
      </c>
      <c r="H129" s="7">
        <f t="shared" si="8"/>
        <v>87</v>
      </c>
      <c r="I129" t="s">
        <v>186</v>
      </c>
      <c r="J129">
        <f t="shared" si="12"/>
        <v>1</v>
      </c>
      <c r="K129">
        <f t="shared" si="12"/>
        <v>0</v>
      </c>
      <c r="L129">
        <f t="shared" si="12"/>
        <v>0</v>
      </c>
      <c r="M129">
        <f t="shared" si="12"/>
        <v>0</v>
      </c>
      <c r="N129">
        <f t="shared" si="12"/>
        <v>0</v>
      </c>
      <c r="O129">
        <f t="shared" si="12"/>
        <v>0</v>
      </c>
      <c r="P129">
        <f t="shared" si="12"/>
        <v>0</v>
      </c>
      <c r="Q129">
        <f t="shared" si="9"/>
        <v>0</v>
      </c>
      <c r="R129">
        <f t="shared" si="10"/>
        <v>0</v>
      </c>
      <c r="S129">
        <v>1.6</v>
      </c>
      <c r="T129">
        <v>0</v>
      </c>
      <c r="U129">
        <v>0</v>
      </c>
      <c r="V129" s="5">
        <v>0</v>
      </c>
    </row>
    <row r="130" spans="1:22" x14ac:dyDescent="0.2">
      <c r="A130" t="s">
        <v>116</v>
      </c>
      <c r="B130" t="s">
        <v>63</v>
      </c>
      <c r="C130">
        <v>120</v>
      </c>
      <c r="D130">
        <v>118</v>
      </c>
      <c r="E130" s="1">
        <v>0.246</v>
      </c>
      <c r="F130">
        <v>13</v>
      </c>
      <c r="G130" s="2">
        <v>23000000</v>
      </c>
      <c r="H130" s="7">
        <f t="shared" si="8"/>
        <v>23</v>
      </c>
      <c r="I130" t="s">
        <v>121</v>
      </c>
      <c r="J130">
        <f t="shared" si="12"/>
        <v>0</v>
      </c>
      <c r="K130">
        <f t="shared" si="12"/>
        <v>0</v>
      </c>
      <c r="L130">
        <f t="shared" si="12"/>
        <v>0</v>
      </c>
      <c r="M130">
        <f t="shared" si="12"/>
        <v>0</v>
      </c>
      <c r="N130">
        <f t="shared" si="12"/>
        <v>0</v>
      </c>
      <c r="O130">
        <f t="shared" si="12"/>
        <v>1</v>
      </c>
      <c r="P130">
        <f t="shared" si="12"/>
        <v>0</v>
      </c>
      <c r="Q130">
        <f t="shared" si="9"/>
        <v>1</v>
      </c>
      <c r="R130">
        <f t="shared" si="10"/>
        <v>0</v>
      </c>
      <c r="S130">
        <v>2</v>
      </c>
      <c r="T130">
        <v>0</v>
      </c>
      <c r="U130">
        <v>0</v>
      </c>
      <c r="V130" s="5">
        <v>0</v>
      </c>
    </row>
    <row r="131" spans="1:22" x14ac:dyDescent="0.2">
      <c r="A131" t="s">
        <v>62</v>
      </c>
      <c r="B131" t="s">
        <v>63</v>
      </c>
      <c r="C131">
        <v>136</v>
      </c>
      <c r="D131">
        <v>129</v>
      </c>
      <c r="E131" s="1">
        <v>0.26100000000000001</v>
      </c>
      <c r="F131">
        <v>25</v>
      </c>
      <c r="G131" s="2">
        <v>760000</v>
      </c>
      <c r="H131" s="7">
        <f t="shared" ref="H131:H141" si="13">_xlfn.RANK.EQ(G131,$G$2:$G$141,0)</f>
        <v>98</v>
      </c>
      <c r="I131" t="s">
        <v>76</v>
      </c>
      <c r="J131">
        <f t="shared" si="12"/>
        <v>0</v>
      </c>
      <c r="K131">
        <f t="shared" si="12"/>
        <v>0</v>
      </c>
      <c r="L131">
        <f t="shared" si="12"/>
        <v>1</v>
      </c>
      <c r="M131">
        <f t="shared" si="12"/>
        <v>0</v>
      </c>
      <c r="N131">
        <f t="shared" si="12"/>
        <v>0</v>
      </c>
      <c r="O131">
        <f t="shared" si="12"/>
        <v>0</v>
      </c>
      <c r="P131">
        <f t="shared" si="12"/>
        <v>0</v>
      </c>
      <c r="Q131">
        <f t="shared" ref="Q131:Q141" si="14">IF(OR(I131=O$1,I131=M$1),1,0)</f>
        <v>0</v>
      </c>
      <c r="R131">
        <f t="shared" ref="R131:R141" si="15">IF(OR(I131=N$1,I131=L$1),1,0)</f>
        <v>1</v>
      </c>
      <c r="S131">
        <v>2.8</v>
      </c>
      <c r="T131">
        <v>0</v>
      </c>
      <c r="U131">
        <v>1</v>
      </c>
      <c r="V131" s="5">
        <v>0</v>
      </c>
    </row>
    <row r="132" spans="1:22" x14ac:dyDescent="0.2">
      <c r="A132" t="s">
        <v>71</v>
      </c>
      <c r="B132" t="s">
        <v>30</v>
      </c>
      <c r="C132">
        <v>142</v>
      </c>
      <c r="D132">
        <v>136</v>
      </c>
      <c r="E132" s="1">
        <v>0.26200000000000001</v>
      </c>
      <c r="F132">
        <v>16</v>
      </c>
      <c r="G132" s="2">
        <v>760000</v>
      </c>
      <c r="H132" s="7">
        <f t="shared" si="13"/>
        <v>98</v>
      </c>
      <c r="I132" t="s">
        <v>76</v>
      </c>
      <c r="J132">
        <f t="shared" si="12"/>
        <v>0</v>
      </c>
      <c r="K132">
        <f t="shared" si="12"/>
        <v>0</v>
      </c>
      <c r="L132">
        <f t="shared" si="12"/>
        <v>1</v>
      </c>
      <c r="M132">
        <f t="shared" si="12"/>
        <v>0</v>
      </c>
      <c r="N132">
        <f t="shared" si="12"/>
        <v>0</v>
      </c>
      <c r="O132">
        <f t="shared" si="12"/>
        <v>0</v>
      </c>
      <c r="P132">
        <f t="shared" si="12"/>
        <v>0</v>
      </c>
      <c r="Q132">
        <f t="shared" si="14"/>
        <v>0</v>
      </c>
      <c r="R132">
        <f t="shared" si="15"/>
        <v>1</v>
      </c>
      <c r="S132">
        <v>1.9</v>
      </c>
      <c r="T132">
        <v>0</v>
      </c>
      <c r="U132">
        <v>0</v>
      </c>
      <c r="V132" s="5">
        <v>0</v>
      </c>
    </row>
    <row r="133" spans="1:22" x14ac:dyDescent="0.2">
      <c r="A133" t="s">
        <v>22</v>
      </c>
      <c r="B133" t="s">
        <v>42</v>
      </c>
      <c r="C133">
        <v>142</v>
      </c>
      <c r="D133">
        <v>132</v>
      </c>
      <c r="E133" s="1">
        <v>0.26400000000000001</v>
      </c>
      <c r="F133">
        <v>12</v>
      </c>
      <c r="G133" s="2">
        <v>760000</v>
      </c>
      <c r="H133" s="7">
        <f t="shared" si="13"/>
        <v>98</v>
      </c>
      <c r="I133" t="s">
        <v>47</v>
      </c>
      <c r="J133">
        <f t="shared" si="12"/>
        <v>0</v>
      </c>
      <c r="K133">
        <f t="shared" si="12"/>
        <v>1</v>
      </c>
      <c r="L133">
        <f t="shared" si="12"/>
        <v>0</v>
      </c>
      <c r="M133">
        <f t="shared" si="12"/>
        <v>0</v>
      </c>
      <c r="N133">
        <f t="shared" si="12"/>
        <v>0</v>
      </c>
      <c r="O133">
        <f t="shared" si="12"/>
        <v>0</v>
      </c>
      <c r="P133">
        <f t="shared" si="12"/>
        <v>0</v>
      </c>
      <c r="Q133">
        <f t="shared" si="14"/>
        <v>0</v>
      </c>
      <c r="R133">
        <f t="shared" si="15"/>
        <v>0</v>
      </c>
      <c r="S133">
        <v>1.9</v>
      </c>
      <c r="T133">
        <v>0</v>
      </c>
      <c r="U133">
        <v>1</v>
      </c>
      <c r="V133" s="5">
        <v>0</v>
      </c>
    </row>
    <row r="134" spans="1:22" x14ac:dyDescent="0.2">
      <c r="A134" t="s">
        <v>49</v>
      </c>
      <c r="B134" t="s">
        <v>37</v>
      </c>
      <c r="C134">
        <v>153</v>
      </c>
      <c r="D134">
        <v>165</v>
      </c>
      <c r="E134" s="1">
        <v>0.28100000000000003</v>
      </c>
      <c r="F134">
        <v>33</v>
      </c>
      <c r="G134" s="2">
        <v>19250000</v>
      </c>
      <c r="H134" s="7">
        <f t="shared" si="13"/>
        <v>33</v>
      </c>
      <c r="I134" t="s">
        <v>76</v>
      </c>
      <c r="J134">
        <f t="shared" si="12"/>
        <v>0</v>
      </c>
      <c r="K134">
        <f t="shared" si="12"/>
        <v>0</v>
      </c>
      <c r="L134">
        <f t="shared" si="12"/>
        <v>1</v>
      </c>
      <c r="M134">
        <f t="shared" si="12"/>
        <v>0</v>
      </c>
      <c r="N134">
        <f t="shared" si="12"/>
        <v>0</v>
      </c>
      <c r="O134">
        <f t="shared" si="12"/>
        <v>0</v>
      </c>
      <c r="P134">
        <f t="shared" si="12"/>
        <v>0</v>
      </c>
      <c r="Q134">
        <f t="shared" si="14"/>
        <v>0</v>
      </c>
      <c r="R134">
        <f t="shared" si="15"/>
        <v>1</v>
      </c>
      <c r="S134">
        <v>3.8</v>
      </c>
      <c r="T134">
        <v>1</v>
      </c>
      <c r="U134">
        <v>0</v>
      </c>
      <c r="V134" s="5">
        <v>1</v>
      </c>
    </row>
    <row r="135" spans="1:22" x14ac:dyDescent="0.2">
      <c r="A135" t="s">
        <v>92</v>
      </c>
      <c r="B135" t="s">
        <v>27</v>
      </c>
      <c r="C135">
        <v>136</v>
      </c>
      <c r="D135">
        <v>128</v>
      </c>
      <c r="E135" s="1">
        <v>0.252</v>
      </c>
      <c r="F135">
        <v>10</v>
      </c>
      <c r="G135" s="2">
        <v>8000000</v>
      </c>
      <c r="H135" s="7">
        <f t="shared" si="13"/>
        <v>73</v>
      </c>
      <c r="I135" t="s">
        <v>100</v>
      </c>
      <c r="J135">
        <f t="shared" si="12"/>
        <v>0</v>
      </c>
      <c r="K135">
        <f t="shared" si="12"/>
        <v>0</v>
      </c>
      <c r="L135">
        <f t="shared" si="12"/>
        <v>0</v>
      </c>
      <c r="M135">
        <f t="shared" si="12"/>
        <v>1</v>
      </c>
      <c r="N135">
        <f t="shared" si="12"/>
        <v>0</v>
      </c>
      <c r="O135">
        <f t="shared" si="12"/>
        <v>0</v>
      </c>
      <c r="P135">
        <f t="shared" si="12"/>
        <v>0</v>
      </c>
      <c r="Q135">
        <f t="shared" si="14"/>
        <v>1</v>
      </c>
      <c r="R135">
        <f t="shared" si="15"/>
        <v>0</v>
      </c>
      <c r="S135">
        <v>1.8</v>
      </c>
      <c r="T135">
        <v>0</v>
      </c>
      <c r="U135">
        <v>0</v>
      </c>
      <c r="V135" s="5">
        <v>0</v>
      </c>
    </row>
    <row r="136" spans="1:22" x14ac:dyDescent="0.2">
      <c r="A136" t="s">
        <v>8</v>
      </c>
      <c r="B136" t="s">
        <v>28</v>
      </c>
      <c r="C136">
        <v>140</v>
      </c>
      <c r="D136">
        <v>158</v>
      </c>
      <c r="E136" s="1">
        <v>0.29599999999999999</v>
      </c>
      <c r="F136">
        <v>17</v>
      </c>
      <c r="G136" s="2">
        <v>12927716</v>
      </c>
      <c r="H136" s="7">
        <f t="shared" si="13"/>
        <v>48</v>
      </c>
      <c r="I136" t="s">
        <v>47</v>
      </c>
      <c r="J136">
        <f t="shared" si="12"/>
        <v>0</v>
      </c>
      <c r="K136">
        <f t="shared" si="12"/>
        <v>1</v>
      </c>
      <c r="L136">
        <f t="shared" si="12"/>
        <v>0</v>
      </c>
      <c r="M136">
        <f t="shared" si="12"/>
        <v>0</v>
      </c>
      <c r="N136">
        <f t="shared" si="12"/>
        <v>0</v>
      </c>
      <c r="O136">
        <f t="shared" si="12"/>
        <v>0</v>
      </c>
      <c r="P136">
        <f t="shared" si="12"/>
        <v>0</v>
      </c>
      <c r="Q136">
        <f t="shared" si="14"/>
        <v>0</v>
      </c>
      <c r="R136">
        <f t="shared" si="15"/>
        <v>0</v>
      </c>
      <c r="S136">
        <v>4.8</v>
      </c>
      <c r="T136">
        <v>0</v>
      </c>
      <c r="U136">
        <v>1</v>
      </c>
      <c r="V136" s="5">
        <v>0</v>
      </c>
    </row>
    <row r="137" spans="1:22" x14ac:dyDescent="0.2">
      <c r="A137" t="s">
        <v>12</v>
      </c>
      <c r="B137" t="s">
        <v>32</v>
      </c>
      <c r="C137">
        <v>151</v>
      </c>
      <c r="D137">
        <v>160</v>
      </c>
      <c r="E137" s="1">
        <v>0.28799999999999998</v>
      </c>
      <c r="F137">
        <v>17</v>
      </c>
      <c r="G137" s="2">
        <v>760000</v>
      </c>
      <c r="H137" s="7">
        <f t="shared" si="13"/>
        <v>98</v>
      </c>
      <c r="I137" t="s">
        <v>47</v>
      </c>
      <c r="J137">
        <f t="shared" si="12"/>
        <v>0</v>
      </c>
      <c r="K137">
        <f t="shared" si="12"/>
        <v>1</v>
      </c>
      <c r="L137">
        <f t="shared" si="12"/>
        <v>0</v>
      </c>
      <c r="M137">
        <f t="shared" si="12"/>
        <v>0</v>
      </c>
      <c r="N137">
        <f t="shared" si="12"/>
        <v>0</v>
      </c>
      <c r="O137">
        <f t="shared" si="12"/>
        <v>0</v>
      </c>
      <c r="P137">
        <f t="shared" si="12"/>
        <v>0</v>
      </c>
      <c r="Q137">
        <f t="shared" si="14"/>
        <v>0</v>
      </c>
      <c r="R137">
        <f t="shared" si="15"/>
        <v>0</v>
      </c>
      <c r="S137">
        <v>4.7</v>
      </c>
      <c r="T137">
        <v>0</v>
      </c>
      <c r="U137">
        <v>0</v>
      </c>
      <c r="V137" s="5">
        <v>1</v>
      </c>
    </row>
    <row r="138" spans="1:22" x14ac:dyDescent="0.2">
      <c r="A138" t="s">
        <v>107</v>
      </c>
      <c r="B138" t="s">
        <v>32</v>
      </c>
      <c r="C138">
        <v>152</v>
      </c>
      <c r="D138">
        <v>147</v>
      </c>
      <c r="E138" s="1">
        <v>0.254</v>
      </c>
      <c r="F138">
        <v>24</v>
      </c>
      <c r="G138" s="2">
        <v>8750000</v>
      </c>
      <c r="H138" s="7">
        <f t="shared" si="13"/>
        <v>69</v>
      </c>
      <c r="I138" t="s">
        <v>121</v>
      </c>
      <c r="J138">
        <f t="shared" si="12"/>
        <v>0</v>
      </c>
      <c r="K138">
        <f t="shared" si="12"/>
        <v>0</v>
      </c>
      <c r="L138">
        <f t="shared" si="12"/>
        <v>0</v>
      </c>
      <c r="M138">
        <f t="shared" si="12"/>
        <v>0</v>
      </c>
      <c r="N138">
        <f t="shared" si="12"/>
        <v>0</v>
      </c>
      <c r="O138">
        <f t="shared" si="12"/>
        <v>1</v>
      </c>
      <c r="P138">
        <f t="shared" si="12"/>
        <v>0</v>
      </c>
      <c r="Q138">
        <f t="shared" si="14"/>
        <v>1</v>
      </c>
      <c r="R138">
        <f t="shared" si="15"/>
        <v>0</v>
      </c>
      <c r="S138">
        <v>3.8</v>
      </c>
      <c r="T138">
        <v>0</v>
      </c>
      <c r="U138">
        <v>0</v>
      </c>
      <c r="V138" s="5">
        <v>0</v>
      </c>
    </row>
    <row r="139" spans="1:22" x14ac:dyDescent="0.2">
      <c r="A139" t="s">
        <v>109</v>
      </c>
      <c r="B139" t="s">
        <v>89</v>
      </c>
      <c r="C139">
        <v>150</v>
      </c>
      <c r="D139">
        <v>172</v>
      </c>
      <c r="E139" s="1">
        <v>0.28399999999999997</v>
      </c>
      <c r="F139">
        <v>21</v>
      </c>
      <c r="G139" s="2">
        <v>25000000</v>
      </c>
      <c r="H139" s="7">
        <f t="shared" si="13"/>
        <v>17</v>
      </c>
      <c r="I139" t="s">
        <v>121</v>
      </c>
      <c r="J139">
        <f t="shared" si="12"/>
        <v>0</v>
      </c>
      <c r="K139">
        <f t="shared" si="12"/>
        <v>0</v>
      </c>
      <c r="L139">
        <f t="shared" si="12"/>
        <v>0</v>
      </c>
      <c r="M139">
        <f t="shared" si="12"/>
        <v>0</v>
      </c>
      <c r="N139">
        <f t="shared" si="12"/>
        <v>0</v>
      </c>
      <c r="O139">
        <f t="shared" si="12"/>
        <v>1</v>
      </c>
      <c r="P139">
        <f t="shared" si="12"/>
        <v>0</v>
      </c>
      <c r="Q139">
        <f t="shared" si="14"/>
        <v>1</v>
      </c>
      <c r="R139">
        <f t="shared" si="15"/>
        <v>0</v>
      </c>
      <c r="S139">
        <v>4.0999999999999996</v>
      </c>
      <c r="T139">
        <v>0</v>
      </c>
      <c r="U139">
        <v>0</v>
      </c>
      <c r="V139" s="5">
        <v>0</v>
      </c>
    </row>
    <row r="140" spans="1:22" x14ac:dyDescent="0.2">
      <c r="A140" t="s">
        <v>16</v>
      </c>
      <c r="B140" t="s">
        <v>36</v>
      </c>
      <c r="C140">
        <v>145</v>
      </c>
      <c r="D140">
        <v>140</v>
      </c>
      <c r="E140" s="1">
        <v>0.25600000000000001</v>
      </c>
      <c r="F140">
        <v>20</v>
      </c>
      <c r="G140" s="2">
        <v>760000</v>
      </c>
      <c r="H140" s="7">
        <f t="shared" si="13"/>
        <v>98</v>
      </c>
      <c r="I140" t="s">
        <v>47</v>
      </c>
      <c r="J140">
        <f t="shared" si="12"/>
        <v>0</v>
      </c>
      <c r="K140">
        <f t="shared" si="12"/>
        <v>1</v>
      </c>
      <c r="L140">
        <f t="shared" si="12"/>
        <v>0</v>
      </c>
      <c r="M140">
        <f t="shared" si="12"/>
        <v>0</v>
      </c>
      <c r="N140">
        <f t="shared" si="12"/>
        <v>0</v>
      </c>
      <c r="O140">
        <f t="shared" si="12"/>
        <v>0</v>
      </c>
      <c r="P140">
        <f t="shared" si="12"/>
        <v>0</v>
      </c>
      <c r="Q140">
        <f t="shared" si="14"/>
        <v>0</v>
      </c>
      <c r="R140">
        <f t="shared" si="15"/>
        <v>0</v>
      </c>
      <c r="S140">
        <v>2.9</v>
      </c>
      <c r="T140">
        <v>0</v>
      </c>
      <c r="U140">
        <v>0</v>
      </c>
      <c r="V140" s="5">
        <v>0</v>
      </c>
    </row>
    <row r="141" spans="1:22" x14ac:dyDescent="0.2">
      <c r="A141" t="s">
        <v>124</v>
      </c>
      <c r="B141" t="s">
        <v>36</v>
      </c>
      <c r="C141">
        <v>148</v>
      </c>
      <c r="D141">
        <v>165</v>
      </c>
      <c r="E141" s="1">
        <v>0.28899999999999998</v>
      </c>
      <c r="F141">
        <v>39</v>
      </c>
      <c r="G141" s="2">
        <v>19500000</v>
      </c>
      <c r="H141" s="7">
        <f t="shared" si="13"/>
        <v>31</v>
      </c>
      <c r="I141" t="s">
        <v>186</v>
      </c>
      <c r="J141">
        <f t="shared" si="12"/>
        <v>1</v>
      </c>
      <c r="K141">
        <f t="shared" si="12"/>
        <v>0</v>
      </c>
      <c r="L141">
        <f t="shared" si="12"/>
        <v>0</v>
      </c>
      <c r="M141">
        <f t="shared" si="12"/>
        <v>0</v>
      </c>
      <c r="N141">
        <f t="shared" si="12"/>
        <v>0</v>
      </c>
      <c r="O141">
        <f t="shared" si="12"/>
        <v>0</v>
      </c>
      <c r="P141">
        <f t="shared" si="12"/>
        <v>0</v>
      </c>
      <c r="Q141">
        <f t="shared" si="14"/>
        <v>0</v>
      </c>
      <c r="R141">
        <f t="shared" si="15"/>
        <v>0</v>
      </c>
      <c r="S141">
        <v>5.0999999999999996</v>
      </c>
      <c r="T141">
        <v>0</v>
      </c>
      <c r="U141">
        <v>0</v>
      </c>
      <c r="V141" s="5">
        <v>0</v>
      </c>
    </row>
    <row r="144" spans="1:22" x14ac:dyDescent="0.2">
      <c r="H144">
        <f>COUNTIFS(H2:H141,"&gt;=1",H2:H141,"&lt;=15")</f>
        <v>16</v>
      </c>
    </row>
    <row r="146" spans="8:8" x14ac:dyDescent="0.2">
      <c r="H146">
        <f>COUNTIF(H2:H141,10)</f>
        <v>2</v>
      </c>
    </row>
  </sheetData>
  <conditionalFormatting sqref="A2">
    <cfRule type="expression" dxfId="8" priority="2">
      <formula>"IF($V$2=1,,)"</formula>
    </cfRule>
  </conditionalFormatting>
  <conditionalFormatting sqref="A2:A141">
    <cfRule type="expression" dxfId="7" priority="1">
      <formula>V2=1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840E-138A-2342-85D6-C66F9CFF2ED2}">
  <dimension ref="A1:AI146"/>
  <sheetViews>
    <sheetView zoomScale="117" workbookViewId="0">
      <selection activeCell="D10" sqref="D10"/>
    </sheetView>
  </sheetViews>
  <sheetFormatPr baseColWidth="10" defaultColWidth="8.83203125" defaultRowHeight="15" x14ac:dyDescent="0.2"/>
  <cols>
    <col min="1" max="1" width="20" customWidth="1"/>
    <col min="5" max="5" width="13.6640625" customWidth="1"/>
    <col min="7" max="8" width="17.1640625" customWidth="1"/>
    <col min="9" max="9" width="18.5" customWidth="1"/>
    <col min="10" max="18" width="15.1640625" customWidth="1"/>
    <col min="24" max="24" width="25.83203125" bestFit="1" customWidth="1"/>
    <col min="25" max="25" width="10.1640625" bestFit="1" customWidth="1"/>
    <col min="33" max="33" width="14.33203125" bestFit="1" customWidth="1"/>
    <col min="34" max="34" width="13.1640625" bestFit="1" customWidth="1"/>
    <col min="35" max="35" width="13" bestFit="1" customWidth="1"/>
  </cols>
  <sheetData>
    <row r="1" spans="1:35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196</v>
      </c>
      <c r="I1" s="3" t="s">
        <v>190</v>
      </c>
      <c r="J1" t="s">
        <v>186</v>
      </c>
      <c r="K1" t="s">
        <v>47</v>
      </c>
      <c r="L1" t="s">
        <v>76</v>
      </c>
      <c r="M1" t="s">
        <v>100</v>
      </c>
      <c r="N1" t="s">
        <v>187</v>
      </c>
      <c r="O1" t="s">
        <v>121</v>
      </c>
      <c r="P1" t="s">
        <v>141</v>
      </c>
      <c r="Q1" t="s">
        <v>199</v>
      </c>
      <c r="R1" t="s">
        <v>200</v>
      </c>
      <c r="S1" s="4" t="s">
        <v>74</v>
      </c>
      <c r="T1" s="4" t="s">
        <v>188</v>
      </c>
      <c r="U1" s="4" t="s">
        <v>189</v>
      </c>
      <c r="V1" s="4" t="s">
        <v>193</v>
      </c>
    </row>
    <row r="2" spans="1:35" x14ac:dyDescent="0.2">
      <c r="A2" t="s">
        <v>142</v>
      </c>
      <c r="B2" t="s">
        <v>65</v>
      </c>
      <c r="C2">
        <v>152</v>
      </c>
      <c r="D2">
        <v>137</v>
      </c>
      <c r="E2" s="1">
        <v>0.33100000000000002</v>
      </c>
      <c r="F2">
        <v>53</v>
      </c>
      <c r="G2" s="2">
        <v>40000000</v>
      </c>
      <c r="H2" s="7">
        <f>_xlfn.RANK.EQ(G2,$G$2:$G$141,0)</f>
        <v>2</v>
      </c>
      <c r="I2" t="s">
        <v>186</v>
      </c>
      <c r="J2">
        <f>IF($I2=J$1,1,0)</f>
        <v>1</v>
      </c>
      <c r="K2">
        <f t="shared" ref="K2:P17" si="0">IF($I2=K$1,1,0)</f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>IF($I2=P$1,1,0)</f>
        <v>0</v>
      </c>
      <c r="Q2">
        <f>IF(OR(I2=O$1,I2=M$1),1,0)</f>
        <v>0</v>
      </c>
      <c r="R2">
        <f>IF(OR(I2=N$1,I2=L$1),1,0)</f>
        <v>0</v>
      </c>
      <c r="S2">
        <v>9.1999999999999993</v>
      </c>
      <c r="T2">
        <v>0</v>
      </c>
      <c r="U2">
        <v>1</v>
      </c>
      <c r="V2" s="5">
        <v>1</v>
      </c>
      <c r="AA2" t="s">
        <v>186</v>
      </c>
      <c r="AB2" t="s">
        <v>47</v>
      </c>
      <c r="AC2" t="s">
        <v>76</v>
      </c>
      <c r="AD2" t="s">
        <v>100</v>
      </c>
      <c r="AE2" t="s">
        <v>187</v>
      </c>
      <c r="AF2" t="s">
        <v>121</v>
      </c>
      <c r="AG2" t="s">
        <v>141</v>
      </c>
      <c r="AH2" t="s">
        <v>199</v>
      </c>
      <c r="AI2" t="s">
        <v>200</v>
      </c>
    </row>
    <row r="3" spans="1:35" x14ac:dyDescent="0.2">
      <c r="A3" t="s">
        <v>11</v>
      </c>
      <c r="B3" t="s">
        <v>31</v>
      </c>
      <c r="C3">
        <v>148</v>
      </c>
      <c r="D3">
        <v>135</v>
      </c>
      <c r="E3" s="1">
        <v>0.27</v>
      </c>
      <c r="F3">
        <v>22</v>
      </c>
      <c r="G3" s="2">
        <v>760000</v>
      </c>
      <c r="H3" s="7">
        <f t="shared" ref="H3:H66" si="1">_xlfn.RANK.EQ(G3,$G$2:$G$141,0)</f>
        <v>98</v>
      </c>
      <c r="I3" t="s">
        <v>47</v>
      </c>
      <c r="J3">
        <f t="shared" ref="J3:P52" si="2">IF($I3=J$1,1,0)</f>
        <v>0</v>
      </c>
      <c r="K3">
        <f t="shared" si="0"/>
        <v>1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ref="Q3:Q66" si="3">IF(OR(I3=O$1,I3=M$1),1,0)</f>
        <v>0</v>
      </c>
      <c r="R3">
        <f t="shared" ref="R3:R66" si="4">IF(OR(I3=N$1,I3=L$1),1,0)</f>
        <v>0</v>
      </c>
      <c r="S3">
        <v>6</v>
      </c>
      <c r="T3">
        <v>0</v>
      </c>
      <c r="U3">
        <v>1</v>
      </c>
      <c r="V3" s="5">
        <v>1</v>
      </c>
      <c r="X3" t="s">
        <v>201</v>
      </c>
      <c r="Y3">
        <f>SUM(V2:V141)</f>
        <v>15</v>
      </c>
      <c r="AA3">
        <f>SUMPRODUCT($V$2:$V$141,J2:J141)</f>
        <v>6</v>
      </c>
      <c r="AB3">
        <f t="shared" ref="AB3:AI3" si="5">SUMPRODUCT($V$2:$V$141,K2:K141)</f>
        <v>3</v>
      </c>
      <c r="AC3">
        <f t="shared" si="5"/>
        <v>2</v>
      </c>
      <c r="AD3">
        <f t="shared" si="5"/>
        <v>1</v>
      </c>
      <c r="AE3">
        <f t="shared" si="5"/>
        <v>1</v>
      </c>
      <c r="AF3">
        <f t="shared" si="5"/>
        <v>2</v>
      </c>
      <c r="AG3">
        <f t="shared" si="5"/>
        <v>0</v>
      </c>
      <c r="AH3">
        <f t="shared" si="5"/>
        <v>3</v>
      </c>
      <c r="AI3">
        <f t="shared" si="5"/>
        <v>3</v>
      </c>
    </row>
    <row r="4" spans="1:35" x14ac:dyDescent="0.2">
      <c r="A4" t="s">
        <v>151</v>
      </c>
      <c r="B4" t="s">
        <v>34</v>
      </c>
      <c r="C4">
        <v>152</v>
      </c>
      <c r="D4">
        <v>150</v>
      </c>
      <c r="E4" s="1">
        <v>0.27300000000000002</v>
      </c>
      <c r="F4">
        <v>36</v>
      </c>
      <c r="G4" s="2">
        <v>6000000</v>
      </c>
      <c r="H4" s="7">
        <f t="shared" si="1"/>
        <v>79</v>
      </c>
      <c r="I4" t="s">
        <v>186</v>
      </c>
      <c r="J4">
        <f t="shared" si="2"/>
        <v>1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3"/>
        <v>0</v>
      </c>
      <c r="R4">
        <f t="shared" si="4"/>
        <v>0</v>
      </c>
      <c r="S4">
        <v>4.7</v>
      </c>
      <c r="T4">
        <v>0</v>
      </c>
      <c r="U4">
        <v>0</v>
      </c>
      <c r="V4" s="5">
        <v>0</v>
      </c>
      <c r="X4" t="s">
        <v>202</v>
      </c>
      <c r="Y4">
        <f>SUMPRODUCT(V2:V141,T2:T141)</f>
        <v>3</v>
      </c>
    </row>
    <row r="5" spans="1:35" x14ac:dyDescent="0.2">
      <c r="A5" t="s">
        <v>17</v>
      </c>
      <c r="B5" t="s">
        <v>37</v>
      </c>
      <c r="C5">
        <v>132</v>
      </c>
      <c r="D5">
        <v>127</v>
      </c>
      <c r="E5" s="1">
        <v>0.28199999999999997</v>
      </c>
      <c r="F5">
        <v>15</v>
      </c>
      <c r="G5" s="2">
        <v>760000</v>
      </c>
      <c r="H5" s="7">
        <f t="shared" si="1"/>
        <v>98</v>
      </c>
      <c r="I5" t="s">
        <v>47</v>
      </c>
      <c r="J5">
        <f t="shared" si="2"/>
        <v>0</v>
      </c>
      <c r="K5">
        <f t="shared" si="0"/>
        <v>1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3"/>
        <v>0</v>
      </c>
      <c r="R5">
        <f t="shared" si="4"/>
        <v>0</v>
      </c>
      <c r="S5">
        <v>2.4</v>
      </c>
      <c r="T5">
        <v>0</v>
      </c>
      <c r="U5">
        <v>0</v>
      </c>
      <c r="V5" s="5">
        <v>0</v>
      </c>
    </row>
    <row r="6" spans="1:35" x14ac:dyDescent="0.2">
      <c r="A6" t="s">
        <v>175</v>
      </c>
      <c r="B6" t="s">
        <v>44</v>
      </c>
      <c r="C6">
        <v>135</v>
      </c>
      <c r="D6">
        <v>128</v>
      </c>
      <c r="E6" s="1">
        <v>0.25900000000000001</v>
      </c>
      <c r="F6">
        <v>16</v>
      </c>
      <c r="G6" s="2">
        <v>760000</v>
      </c>
      <c r="H6" s="7">
        <f t="shared" si="1"/>
        <v>98</v>
      </c>
      <c r="I6" t="s">
        <v>186</v>
      </c>
      <c r="J6">
        <f t="shared" si="2"/>
        <v>1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3"/>
        <v>0</v>
      </c>
      <c r="R6">
        <f t="shared" si="4"/>
        <v>0</v>
      </c>
      <c r="S6">
        <v>1.9</v>
      </c>
      <c r="T6">
        <v>0</v>
      </c>
      <c r="U6">
        <v>0</v>
      </c>
      <c r="V6" s="5">
        <v>0</v>
      </c>
    </row>
    <row r="7" spans="1:35" x14ac:dyDescent="0.2">
      <c r="A7" t="s">
        <v>135</v>
      </c>
      <c r="B7" t="s">
        <v>65</v>
      </c>
      <c r="C7">
        <v>145</v>
      </c>
      <c r="D7">
        <v>148</v>
      </c>
      <c r="E7" s="1">
        <v>0.27300000000000002</v>
      </c>
      <c r="F7">
        <v>17</v>
      </c>
      <c r="G7" s="2">
        <v>9000000</v>
      </c>
      <c r="H7" s="7">
        <f t="shared" si="1"/>
        <v>67</v>
      </c>
      <c r="I7" t="s">
        <v>186</v>
      </c>
      <c r="J7">
        <f t="shared" si="2"/>
        <v>1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3"/>
        <v>0</v>
      </c>
      <c r="R7">
        <f t="shared" si="4"/>
        <v>0</v>
      </c>
      <c r="S7">
        <v>2.6</v>
      </c>
      <c r="T7">
        <v>0</v>
      </c>
      <c r="U7">
        <v>0</v>
      </c>
      <c r="V7" s="5">
        <v>0</v>
      </c>
      <c r="X7" t="s">
        <v>191</v>
      </c>
      <c r="Y7">
        <f>SUMPRODUCT(V2:V141,G2:G141)</f>
        <v>205890000</v>
      </c>
    </row>
    <row r="8" spans="1:35" x14ac:dyDescent="0.2">
      <c r="A8" t="s">
        <v>87</v>
      </c>
      <c r="B8" t="s">
        <v>38</v>
      </c>
      <c r="C8">
        <v>150</v>
      </c>
      <c r="D8">
        <v>158</v>
      </c>
      <c r="E8" s="1">
        <v>0.26800000000000002</v>
      </c>
      <c r="F8">
        <v>15</v>
      </c>
      <c r="G8" s="2">
        <v>11500000</v>
      </c>
      <c r="H8" s="7">
        <f t="shared" si="1"/>
        <v>56</v>
      </c>
      <c r="I8" t="s">
        <v>100</v>
      </c>
      <c r="J8">
        <f t="shared" si="2"/>
        <v>0</v>
      </c>
      <c r="K8">
        <f t="shared" si="0"/>
        <v>0</v>
      </c>
      <c r="L8">
        <f t="shared" si="0"/>
        <v>0</v>
      </c>
      <c r="M8">
        <f t="shared" si="0"/>
        <v>1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3"/>
        <v>1</v>
      </c>
      <c r="R8">
        <f t="shared" si="4"/>
        <v>0</v>
      </c>
      <c r="S8">
        <v>3.9</v>
      </c>
      <c r="T8">
        <v>0</v>
      </c>
      <c r="U8">
        <v>0</v>
      </c>
      <c r="V8" s="5">
        <v>0</v>
      </c>
      <c r="X8" t="s">
        <v>192</v>
      </c>
      <c r="Y8">
        <f>SUMPRODUCT(V2:V141,S2:S141)</f>
        <v>84.999999999999986</v>
      </c>
    </row>
    <row r="9" spans="1:35" x14ac:dyDescent="0.2">
      <c r="A9" t="s">
        <v>182</v>
      </c>
      <c r="B9" t="s">
        <v>120</v>
      </c>
      <c r="C9">
        <v>142</v>
      </c>
      <c r="D9">
        <v>144</v>
      </c>
      <c r="E9" s="1">
        <v>0.27</v>
      </c>
      <c r="F9">
        <v>14</v>
      </c>
      <c r="G9" s="2">
        <v>16000000</v>
      </c>
      <c r="H9" s="7">
        <f t="shared" si="1"/>
        <v>39</v>
      </c>
      <c r="I9" t="s">
        <v>186</v>
      </c>
      <c r="J9">
        <f t="shared" si="2"/>
        <v>1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3"/>
        <v>0</v>
      </c>
      <c r="R9">
        <f t="shared" si="4"/>
        <v>0</v>
      </c>
      <c r="S9">
        <v>2.2000000000000002</v>
      </c>
      <c r="T9">
        <v>0</v>
      </c>
      <c r="U9">
        <v>0</v>
      </c>
      <c r="V9" s="5">
        <v>0</v>
      </c>
    </row>
    <row r="10" spans="1:35" x14ac:dyDescent="0.2">
      <c r="A10" t="s">
        <v>69</v>
      </c>
      <c r="B10" t="s">
        <v>70</v>
      </c>
      <c r="C10">
        <v>148</v>
      </c>
      <c r="D10">
        <v>140</v>
      </c>
      <c r="E10" s="1">
        <v>0.25800000000000001</v>
      </c>
      <c r="F10">
        <v>24</v>
      </c>
      <c r="G10" s="2">
        <v>760000</v>
      </c>
      <c r="H10" s="7">
        <f t="shared" si="1"/>
        <v>98</v>
      </c>
      <c r="I10" t="s">
        <v>76</v>
      </c>
      <c r="J10">
        <f t="shared" si="2"/>
        <v>0</v>
      </c>
      <c r="K10">
        <f t="shared" si="0"/>
        <v>0</v>
      </c>
      <c r="L10">
        <f t="shared" si="0"/>
        <v>1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3"/>
        <v>0</v>
      </c>
      <c r="R10">
        <f t="shared" si="4"/>
        <v>1</v>
      </c>
      <c r="S10">
        <v>2.4</v>
      </c>
      <c r="T10">
        <v>0</v>
      </c>
      <c r="U10">
        <v>1</v>
      </c>
      <c r="V10" s="5">
        <v>0</v>
      </c>
    </row>
    <row r="11" spans="1:35" x14ac:dyDescent="0.2">
      <c r="A11" t="s">
        <v>64</v>
      </c>
      <c r="B11" t="s">
        <v>65</v>
      </c>
      <c r="C11">
        <v>128</v>
      </c>
      <c r="D11">
        <v>118</v>
      </c>
      <c r="E11" s="1">
        <v>0.251</v>
      </c>
      <c r="F11">
        <v>21</v>
      </c>
      <c r="G11" s="2">
        <v>20000000</v>
      </c>
      <c r="H11" s="7">
        <f t="shared" si="1"/>
        <v>26</v>
      </c>
      <c r="I11" t="s">
        <v>76</v>
      </c>
      <c r="J11">
        <f t="shared" si="2"/>
        <v>0</v>
      </c>
      <c r="K11">
        <f t="shared" si="0"/>
        <v>0</v>
      </c>
      <c r="L11">
        <f t="shared" si="0"/>
        <v>1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3"/>
        <v>0</v>
      </c>
      <c r="R11">
        <f t="shared" si="4"/>
        <v>1</v>
      </c>
      <c r="S11">
        <v>1.5</v>
      </c>
      <c r="T11">
        <v>0</v>
      </c>
      <c r="U11">
        <v>0</v>
      </c>
      <c r="V11" s="5">
        <v>0</v>
      </c>
      <c r="X11" t="s">
        <v>194</v>
      </c>
      <c r="Y11">
        <f>COUNTIFS(V2:V141,1,E2:E141,"&gt;=0.3")</f>
        <v>6</v>
      </c>
    </row>
    <row r="12" spans="1:35" x14ac:dyDescent="0.2">
      <c r="A12" t="s">
        <v>137</v>
      </c>
      <c r="B12" t="s">
        <v>31</v>
      </c>
      <c r="C12">
        <v>150</v>
      </c>
      <c r="D12">
        <v>160</v>
      </c>
      <c r="E12" s="1">
        <v>0.27200000000000002</v>
      </c>
      <c r="F12">
        <v>31</v>
      </c>
      <c r="G12" s="2">
        <v>4800000</v>
      </c>
      <c r="H12" s="7">
        <f t="shared" si="1"/>
        <v>87</v>
      </c>
      <c r="I12" t="s">
        <v>141</v>
      </c>
      <c r="J12">
        <f t="shared" si="2"/>
        <v>0</v>
      </c>
      <c r="K12">
        <f t="shared" si="0"/>
        <v>0</v>
      </c>
      <c r="L1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1</v>
      </c>
      <c r="Q12">
        <f t="shared" si="3"/>
        <v>0</v>
      </c>
      <c r="R12">
        <f t="shared" si="4"/>
        <v>0</v>
      </c>
      <c r="S12">
        <v>3.4</v>
      </c>
      <c r="T12">
        <v>0</v>
      </c>
      <c r="U12">
        <v>0</v>
      </c>
      <c r="V12" s="5">
        <v>0</v>
      </c>
    </row>
    <row r="13" spans="1:35" x14ac:dyDescent="0.2">
      <c r="A13" t="s">
        <v>110</v>
      </c>
      <c r="B13" t="s">
        <v>65</v>
      </c>
      <c r="C13">
        <v>155</v>
      </c>
      <c r="D13">
        <v>153</v>
      </c>
      <c r="E13" s="1">
        <v>0.26200000000000001</v>
      </c>
      <c r="F13">
        <v>18</v>
      </c>
      <c r="G13" s="2">
        <v>760000</v>
      </c>
      <c r="H13" s="7">
        <f t="shared" si="1"/>
        <v>98</v>
      </c>
      <c r="I13" t="s">
        <v>121</v>
      </c>
      <c r="J13">
        <f t="shared" si="2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1</v>
      </c>
      <c r="P13">
        <f t="shared" si="0"/>
        <v>0</v>
      </c>
      <c r="Q13">
        <f t="shared" si="3"/>
        <v>1</v>
      </c>
      <c r="R13">
        <f t="shared" si="4"/>
        <v>0</v>
      </c>
      <c r="S13">
        <v>3.7</v>
      </c>
      <c r="T13">
        <v>0</v>
      </c>
      <c r="U13">
        <v>1</v>
      </c>
      <c r="V13" s="5">
        <v>0</v>
      </c>
    </row>
    <row r="14" spans="1:35" x14ac:dyDescent="0.2">
      <c r="A14" t="s">
        <v>18</v>
      </c>
      <c r="B14" t="s">
        <v>38</v>
      </c>
      <c r="C14">
        <v>136</v>
      </c>
      <c r="D14">
        <v>98</v>
      </c>
      <c r="E14" s="1">
        <v>0.19500000000000001</v>
      </c>
      <c r="F14">
        <v>14</v>
      </c>
      <c r="G14" s="2">
        <v>760000</v>
      </c>
      <c r="H14" s="7">
        <f t="shared" si="1"/>
        <v>98</v>
      </c>
      <c r="I14" t="s">
        <v>47</v>
      </c>
      <c r="J14">
        <f t="shared" si="2"/>
        <v>0</v>
      </c>
      <c r="K14">
        <f t="shared" si="0"/>
        <v>1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3"/>
        <v>0</v>
      </c>
      <c r="R14">
        <f t="shared" si="4"/>
        <v>0</v>
      </c>
      <c r="S14">
        <v>1.5</v>
      </c>
      <c r="T14">
        <v>1</v>
      </c>
      <c r="U14">
        <v>0</v>
      </c>
      <c r="V14" s="5">
        <v>0</v>
      </c>
      <c r="X14" t="s">
        <v>195</v>
      </c>
      <c r="Y14">
        <f>COUNTIFS(H2:H141,"&lt;=15",V2:V141,"=1")</f>
        <v>3</v>
      </c>
    </row>
    <row r="15" spans="1:35" x14ac:dyDescent="0.2">
      <c r="A15" t="s">
        <v>106</v>
      </c>
      <c r="B15" t="s">
        <v>29</v>
      </c>
      <c r="C15">
        <v>159</v>
      </c>
      <c r="D15">
        <v>186</v>
      </c>
      <c r="E15" s="1">
        <v>0.308</v>
      </c>
      <c r="F15">
        <v>31</v>
      </c>
      <c r="G15" s="2">
        <v>760000</v>
      </c>
      <c r="H15" s="7">
        <f t="shared" si="1"/>
        <v>98</v>
      </c>
      <c r="I15" t="s">
        <v>121</v>
      </c>
      <c r="J15">
        <f t="shared" si="2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1</v>
      </c>
      <c r="P15">
        <f t="shared" si="0"/>
        <v>0</v>
      </c>
      <c r="Q15">
        <f t="shared" si="3"/>
        <v>1</v>
      </c>
      <c r="R15">
        <f t="shared" si="4"/>
        <v>0</v>
      </c>
      <c r="S15">
        <v>7</v>
      </c>
      <c r="T15">
        <v>0</v>
      </c>
      <c r="U15">
        <v>1</v>
      </c>
      <c r="V15" s="5">
        <v>1</v>
      </c>
    </row>
    <row r="16" spans="1:35" x14ac:dyDescent="0.2">
      <c r="A16" t="s">
        <v>82</v>
      </c>
      <c r="B16" t="s">
        <v>83</v>
      </c>
      <c r="C16">
        <v>128</v>
      </c>
      <c r="D16">
        <v>112</v>
      </c>
      <c r="E16" s="1">
        <v>0.249</v>
      </c>
      <c r="F16">
        <v>24</v>
      </c>
      <c r="G16" s="2">
        <v>8700000</v>
      </c>
      <c r="H16" s="7">
        <f t="shared" si="1"/>
        <v>70</v>
      </c>
      <c r="I16" t="s">
        <v>100</v>
      </c>
      <c r="J16">
        <f t="shared" si="2"/>
        <v>0</v>
      </c>
      <c r="K16">
        <f t="shared" si="0"/>
        <v>0</v>
      </c>
      <c r="L16">
        <f t="shared" si="0"/>
        <v>0</v>
      </c>
      <c r="M16">
        <f t="shared" si="0"/>
        <v>1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3"/>
        <v>1</v>
      </c>
      <c r="R16">
        <f t="shared" si="4"/>
        <v>0</v>
      </c>
      <c r="S16">
        <v>2.5</v>
      </c>
      <c r="T16">
        <v>0</v>
      </c>
      <c r="U16">
        <v>0</v>
      </c>
      <c r="V16" s="5">
        <v>0</v>
      </c>
    </row>
    <row r="17" spans="1:22" x14ac:dyDescent="0.2">
      <c r="A17" t="s">
        <v>93</v>
      </c>
      <c r="B17" t="s">
        <v>52</v>
      </c>
      <c r="C17">
        <v>140</v>
      </c>
      <c r="D17">
        <v>137</v>
      </c>
      <c r="E17" s="1">
        <v>0.26200000000000001</v>
      </c>
      <c r="F17">
        <v>12</v>
      </c>
      <c r="G17" s="2">
        <v>760000</v>
      </c>
      <c r="H17" s="7">
        <f t="shared" si="1"/>
        <v>98</v>
      </c>
      <c r="I17" t="s">
        <v>100</v>
      </c>
      <c r="J17">
        <f t="shared" si="2"/>
        <v>0</v>
      </c>
      <c r="K17">
        <f t="shared" si="0"/>
        <v>0</v>
      </c>
      <c r="L17">
        <f t="shared" si="0"/>
        <v>0</v>
      </c>
      <c r="M17">
        <f t="shared" si="0"/>
        <v>1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3"/>
        <v>1</v>
      </c>
      <c r="R17">
        <f t="shared" si="4"/>
        <v>0</v>
      </c>
      <c r="S17">
        <v>2.2999999999999998</v>
      </c>
      <c r="T17">
        <v>0</v>
      </c>
      <c r="U17">
        <v>0</v>
      </c>
      <c r="V17" s="5">
        <v>0</v>
      </c>
    </row>
    <row r="18" spans="1:22" x14ac:dyDescent="0.2">
      <c r="A18" t="s">
        <v>140</v>
      </c>
      <c r="B18" t="s">
        <v>39</v>
      </c>
      <c r="C18">
        <v>144</v>
      </c>
      <c r="D18">
        <v>140</v>
      </c>
      <c r="E18" s="1">
        <v>0.26300000000000001</v>
      </c>
      <c r="F18">
        <v>29</v>
      </c>
      <c r="G18" s="2">
        <v>760000</v>
      </c>
      <c r="H18" s="7">
        <f t="shared" si="1"/>
        <v>98</v>
      </c>
      <c r="I18" t="s">
        <v>141</v>
      </c>
      <c r="J18">
        <f t="shared" si="2"/>
        <v>0</v>
      </c>
      <c r="K18">
        <f t="shared" si="2"/>
        <v>0</v>
      </c>
      <c r="L18">
        <f t="shared" si="2"/>
        <v>0</v>
      </c>
      <c r="M18">
        <f t="shared" si="2"/>
        <v>0</v>
      </c>
      <c r="N18">
        <f t="shared" si="2"/>
        <v>0</v>
      </c>
      <c r="O18">
        <f t="shared" si="2"/>
        <v>0</v>
      </c>
      <c r="P18">
        <f t="shared" si="2"/>
        <v>1</v>
      </c>
      <c r="Q18">
        <f t="shared" si="3"/>
        <v>0</v>
      </c>
      <c r="R18">
        <f t="shared" si="4"/>
        <v>0</v>
      </c>
      <c r="S18">
        <v>2.1</v>
      </c>
      <c r="T18">
        <v>0</v>
      </c>
      <c r="U18">
        <v>0</v>
      </c>
      <c r="V18" s="5">
        <v>0</v>
      </c>
    </row>
    <row r="19" spans="1:22" x14ac:dyDescent="0.2">
      <c r="A19" t="s">
        <v>184</v>
      </c>
      <c r="B19" t="s">
        <v>45</v>
      </c>
      <c r="C19">
        <v>145</v>
      </c>
      <c r="D19">
        <v>141</v>
      </c>
      <c r="E19" s="1">
        <v>0.25900000000000001</v>
      </c>
      <c r="F19">
        <v>18</v>
      </c>
      <c r="G19" s="2">
        <v>760000</v>
      </c>
      <c r="H19" s="7">
        <f t="shared" si="1"/>
        <v>98</v>
      </c>
      <c r="I19" t="s">
        <v>186</v>
      </c>
      <c r="J19">
        <f t="shared" si="2"/>
        <v>1</v>
      </c>
      <c r="K19">
        <f t="shared" si="2"/>
        <v>0</v>
      </c>
      <c r="L19">
        <f t="shared" si="2"/>
        <v>0</v>
      </c>
      <c r="M19">
        <f t="shared" si="2"/>
        <v>0</v>
      </c>
      <c r="N19">
        <f t="shared" si="2"/>
        <v>0</v>
      </c>
      <c r="O19">
        <f t="shared" si="2"/>
        <v>0</v>
      </c>
      <c r="P19">
        <f t="shared" si="2"/>
        <v>0</v>
      </c>
      <c r="Q19">
        <f t="shared" si="3"/>
        <v>0</v>
      </c>
      <c r="R19">
        <f t="shared" si="4"/>
        <v>0</v>
      </c>
      <c r="S19">
        <v>2.4</v>
      </c>
      <c r="T19">
        <v>0</v>
      </c>
      <c r="U19">
        <v>0</v>
      </c>
      <c r="V19" s="5">
        <v>0</v>
      </c>
    </row>
    <row r="20" spans="1:22" x14ac:dyDescent="0.2">
      <c r="A20" t="s">
        <v>174</v>
      </c>
      <c r="B20" t="s">
        <v>40</v>
      </c>
      <c r="C20">
        <v>154</v>
      </c>
      <c r="D20">
        <v>165</v>
      </c>
      <c r="E20" s="1">
        <v>0.27700000000000002</v>
      </c>
      <c r="F20">
        <v>25</v>
      </c>
      <c r="G20" s="2">
        <v>13000000</v>
      </c>
      <c r="H20" s="7">
        <f t="shared" si="1"/>
        <v>45</v>
      </c>
      <c r="I20" t="s">
        <v>186</v>
      </c>
      <c r="J20">
        <f t="shared" si="2"/>
        <v>1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3"/>
        <v>0</v>
      </c>
      <c r="R20">
        <f t="shared" si="4"/>
        <v>0</v>
      </c>
      <c r="S20">
        <v>4</v>
      </c>
      <c r="T20">
        <v>0</v>
      </c>
      <c r="U20">
        <v>0</v>
      </c>
      <c r="V20" s="5">
        <v>0</v>
      </c>
    </row>
    <row r="21" spans="1:22" x14ac:dyDescent="0.2">
      <c r="A21" t="s">
        <v>67</v>
      </c>
      <c r="B21" t="s">
        <v>27</v>
      </c>
      <c r="C21">
        <v>155</v>
      </c>
      <c r="D21">
        <v>170</v>
      </c>
      <c r="E21" s="1">
        <v>0.28999999999999998</v>
      </c>
      <c r="F21">
        <v>34</v>
      </c>
      <c r="G21" s="2">
        <v>27000000</v>
      </c>
      <c r="H21" s="7">
        <f t="shared" si="1"/>
        <v>13</v>
      </c>
      <c r="I21" t="s">
        <v>76</v>
      </c>
      <c r="J21">
        <f t="shared" si="2"/>
        <v>0</v>
      </c>
      <c r="K21">
        <f t="shared" si="2"/>
        <v>0</v>
      </c>
      <c r="L21">
        <f t="shared" si="2"/>
        <v>1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3"/>
        <v>0</v>
      </c>
      <c r="R21">
        <f t="shared" si="4"/>
        <v>1</v>
      </c>
      <c r="S21">
        <v>6.2</v>
      </c>
      <c r="T21">
        <v>0</v>
      </c>
      <c r="U21">
        <v>1</v>
      </c>
      <c r="V21" s="5">
        <v>0</v>
      </c>
    </row>
    <row r="22" spans="1:22" x14ac:dyDescent="0.2">
      <c r="A22" t="s">
        <v>132</v>
      </c>
      <c r="B22" t="s">
        <v>44</v>
      </c>
      <c r="C22">
        <v>120</v>
      </c>
      <c r="D22">
        <v>118</v>
      </c>
      <c r="E22" s="1">
        <v>0.25700000000000001</v>
      </c>
      <c r="F22">
        <v>22</v>
      </c>
      <c r="G22" s="2">
        <v>15000000</v>
      </c>
      <c r="H22" s="7">
        <f t="shared" si="1"/>
        <v>41</v>
      </c>
      <c r="I22" t="s">
        <v>186</v>
      </c>
      <c r="J22">
        <f t="shared" si="2"/>
        <v>1</v>
      </c>
      <c r="K22">
        <f t="shared" si="2"/>
        <v>0</v>
      </c>
      <c r="L22">
        <f t="shared" si="2"/>
        <v>0</v>
      </c>
      <c r="M22">
        <f t="shared" si="2"/>
        <v>0</v>
      </c>
      <c r="N22">
        <f t="shared" si="2"/>
        <v>0</v>
      </c>
      <c r="O22">
        <f t="shared" si="2"/>
        <v>0</v>
      </c>
      <c r="P22">
        <f t="shared" si="2"/>
        <v>0</v>
      </c>
      <c r="Q22">
        <f t="shared" si="3"/>
        <v>0</v>
      </c>
      <c r="R22">
        <f t="shared" si="4"/>
        <v>0</v>
      </c>
      <c r="S22">
        <v>2</v>
      </c>
      <c r="T22">
        <v>0</v>
      </c>
      <c r="U22">
        <v>1</v>
      </c>
      <c r="V22" s="5">
        <v>0</v>
      </c>
    </row>
    <row r="23" spans="1:22" x14ac:dyDescent="0.2">
      <c r="A23" t="s">
        <v>10</v>
      </c>
      <c r="B23" t="s">
        <v>30</v>
      </c>
      <c r="C23">
        <v>150</v>
      </c>
      <c r="D23">
        <v>120</v>
      </c>
      <c r="E23" s="1">
        <v>0.247</v>
      </c>
      <c r="F23">
        <v>60</v>
      </c>
      <c r="G23" s="2">
        <v>17500000</v>
      </c>
      <c r="H23" s="7">
        <f t="shared" si="1"/>
        <v>35</v>
      </c>
      <c r="I23" t="s">
        <v>47</v>
      </c>
      <c r="J23">
        <f t="shared" si="2"/>
        <v>0</v>
      </c>
      <c r="K23">
        <f t="shared" si="2"/>
        <v>1</v>
      </c>
      <c r="L23">
        <f t="shared" si="2"/>
        <v>0</v>
      </c>
      <c r="M23">
        <f t="shared" si="2"/>
        <v>0</v>
      </c>
      <c r="N23">
        <f t="shared" si="2"/>
        <v>0</v>
      </c>
      <c r="O23">
        <f t="shared" si="2"/>
        <v>0</v>
      </c>
      <c r="P23">
        <f t="shared" si="2"/>
        <v>0</v>
      </c>
      <c r="Q23">
        <f t="shared" si="3"/>
        <v>0</v>
      </c>
      <c r="R23">
        <f t="shared" si="4"/>
        <v>0</v>
      </c>
      <c r="S23">
        <v>5.0999999999999996</v>
      </c>
      <c r="T23">
        <v>0</v>
      </c>
      <c r="U23">
        <v>0</v>
      </c>
      <c r="V23" s="5">
        <v>1</v>
      </c>
    </row>
    <row r="24" spans="1:22" x14ac:dyDescent="0.2">
      <c r="A24" t="s">
        <v>102</v>
      </c>
      <c r="B24" t="s">
        <v>44</v>
      </c>
      <c r="C24">
        <v>150</v>
      </c>
      <c r="D24">
        <v>160</v>
      </c>
      <c r="E24" s="1">
        <v>0.26800000000000002</v>
      </c>
      <c r="F24">
        <v>23</v>
      </c>
      <c r="G24" s="2">
        <v>33300000</v>
      </c>
      <c r="H24" s="7">
        <f t="shared" si="1"/>
        <v>5</v>
      </c>
      <c r="I24" t="s">
        <v>121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  <c r="O24">
        <f t="shared" si="2"/>
        <v>1</v>
      </c>
      <c r="P24">
        <f t="shared" si="2"/>
        <v>0</v>
      </c>
      <c r="Q24">
        <f t="shared" si="3"/>
        <v>1</v>
      </c>
      <c r="R24">
        <f t="shared" si="4"/>
        <v>0</v>
      </c>
      <c r="S24">
        <v>4.2</v>
      </c>
      <c r="T24">
        <v>0</v>
      </c>
      <c r="U24">
        <v>1</v>
      </c>
      <c r="V24" s="5">
        <v>0</v>
      </c>
    </row>
    <row r="25" spans="1:22" x14ac:dyDescent="0.2">
      <c r="A25" t="s">
        <v>68</v>
      </c>
      <c r="B25" t="s">
        <v>44</v>
      </c>
      <c r="C25">
        <v>124</v>
      </c>
      <c r="D25">
        <v>110</v>
      </c>
      <c r="E25" s="1">
        <v>0.23899999999999999</v>
      </c>
      <c r="F25">
        <v>19</v>
      </c>
      <c r="G25" s="2">
        <v>6000000</v>
      </c>
      <c r="H25" s="7">
        <f t="shared" si="1"/>
        <v>79</v>
      </c>
      <c r="I25" t="s">
        <v>76</v>
      </c>
      <c r="J25">
        <f t="shared" si="2"/>
        <v>0</v>
      </c>
      <c r="K25">
        <f t="shared" si="2"/>
        <v>0</v>
      </c>
      <c r="L25">
        <f t="shared" si="2"/>
        <v>1</v>
      </c>
      <c r="M25">
        <f t="shared" si="2"/>
        <v>0</v>
      </c>
      <c r="N25">
        <f t="shared" si="2"/>
        <v>0</v>
      </c>
      <c r="O25">
        <f t="shared" si="2"/>
        <v>0</v>
      </c>
      <c r="P25">
        <f t="shared" si="2"/>
        <v>0</v>
      </c>
      <c r="Q25">
        <f t="shared" si="3"/>
        <v>0</v>
      </c>
      <c r="R25">
        <f t="shared" si="4"/>
        <v>1</v>
      </c>
      <c r="S25">
        <v>1.1000000000000001</v>
      </c>
      <c r="T25">
        <v>0</v>
      </c>
      <c r="U25">
        <v>0</v>
      </c>
      <c r="V25" s="5">
        <v>0</v>
      </c>
    </row>
    <row r="26" spans="1:22" x14ac:dyDescent="0.2">
      <c r="A26" t="s">
        <v>157</v>
      </c>
      <c r="B26" t="s">
        <v>31</v>
      </c>
      <c r="C26">
        <v>146</v>
      </c>
      <c r="D26">
        <v>145</v>
      </c>
      <c r="E26" s="1">
        <v>0.26500000000000001</v>
      </c>
      <c r="F26">
        <v>18</v>
      </c>
      <c r="G26" s="2">
        <v>4500000</v>
      </c>
      <c r="H26" s="7">
        <f t="shared" si="1"/>
        <v>91</v>
      </c>
      <c r="I26" t="s">
        <v>186</v>
      </c>
      <c r="J26">
        <f t="shared" si="2"/>
        <v>1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0</v>
      </c>
      <c r="O26">
        <f t="shared" si="2"/>
        <v>0</v>
      </c>
      <c r="P26">
        <f t="shared" si="2"/>
        <v>0</v>
      </c>
      <c r="Q26">
        <f t="shared" si="3"/>
        <v>0</v>
      </c>
      <c r="R26">
        <f t="shared" si="4"/>
        <v>0</v>
      </c>
      <c r="S26">
        <v>3.1</v>
      </c>
      <c r="T26">
        <v>0</v>
      </c>
      <c r="U26">
        <v>0</v>
      </c>
      <c r="V26" s="5">
        <v>0</v>
      </c>
    </row>
    <row r="27" spans="1:22" x14ac:dyDescent="0.2">
      <c r="A27" t="s">
        <v>181</v>
      </c>
      <c r="B27" t="s">
        <v>36</v>
      </c>
      <c r="C27">
        <v>139</v>
      </c>
      <c r="D27">
        <v>132</v>
      </c>
      <c r="E27" s="1">
        <v>0.25900000000000001</v>
      </c>
      <c r="F27">
        <v>17</v>
      </c>
      <c r="G27" s="2">
        <v>7500000</v>
      </c>
      <c r="H27" s="7">
        <f t="shared" si="1"/>
        <v>76</v>
      </c>
      <c r="I27" t="s">
        <v>186</v>
      </c>
      <c r="J27">
        <f t="shared" si="2"/>
        <v>1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>
        <f t="shared" si="2"/>
        <v>0</v>
      </c>
      <c r="P27">
        <f t="shared" si="2"/>
        <v>0</v>
      </c>
      <c r="Q27">
        <f t="shared" si="3"/>
        <v>0</v>
      </c>
      <c r="R27">
        <f t="shared" si="4"/>
        <v>0</v>
      </c>
      <c r="S27">
        <v>2.2999999999999998</v>
      </c>
      <c r="T27">
        <v>0</v>
      </c>
      <c r="U27">
        <v>0</v>
      </c>
      <c r="V27" s="5">
        <v>0</v>
      </c>
    </row>
    <row r="28" spans="1:22" x14ac:dyDescent="0.2">
      <c r="A28" t="s">
        <v>24</v>
      </c>
      <c r="B28" t="s">
        <v>44</v>
      </c>
      <c r="C28">
        <v>101</v>
      </c>
      <c r="D28">
        <v>82</v>
      </c>
      <c r="E28" s="1">
        <v>0.22600000000000001</v>
      </c>
      <c r="F28">
        <v>6</v>
      </c>
      <c r="G28" s="2">
        <v>10000000</v>
      </c>
      <c r="H28" s="7">
        <f t="shared" si="1"/>
        <v>64</v>
      </c>
      <c r="I28" t="s">
        <v>47</v>
      </c>
      <c r="J28">
        <f t="shared" si="2"/>
        <v>0</v>
      </c>
      <c r="K28">
        <f t="shared" si="2"/>
        <v>1</v>
      </c>
      <c r="L28">
        <f t="shared" si="2"/>
        <v>0</v>
      </c>
      <c r="M28">
        <f t="shared" si="2"/>
        <v>0</v>
      </c>
      <c r="N28">
        <f t="shared" si="2"/>
        <v>0</v>
      </c>
      <c r="O28">
        <f t="shared" si="2"/>
        <v>0</v>
      </c>
      <c r="P28">
        <f t="shared" si="2"/>
        <v>0</v>
      </c>
      <c r="Q28">
        <f t="shared" si="3"/>
        <v>0</v>
      </c>
      <c r="R28">
        <f t="shared" si="4"/>
        <v>0</v>
      </c>
      <c r="S28">
        <v>1</v>
      </c>
      <c r="T28">
        <v>0</v>
      </c>
      <c r="U28">
        <v>0</v>
      </c>
      <c r="V28" s="5">
        <v>0</v>
      </c>
    </row>
    <row r="29" spans="1:22" x14ac:dyDescent="0.2">
      <c r="A29" t="s">
        <v>55</v>
      </c>
      <c r="B29" t="s">
        <v>33</v>
      </c>
      <c r="C29">
        <v>155</v>
      </c>
      <c r="D29">
        <v>150</v>
      </c>
      <c r="E29" s="1">
        <v>0.25700000000000001</v>
      </c>
      <c r="F29">
        <v>32</v>
      </c>
      <c r="G29" s="2">
        <v>6500000</v>
      </c>
      <c r="H29" s="7">
        <f t="shared" si="1"/>
        <v>78</v>
      </c>
      <c r="I29" t="s">
        <v>76</v>
      </c>
      <c r="J29">
        <f t="shared" si="2"/>
        <v>0</v>
      </c>
      <c r="K29">
        <f t="shared" si="2"/>
        <v>0</v>
      </c>
      <c r="L29">
        <f t="shared" si="2"/>
        <v>1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3"/>
        <v>0</v>
      </c>
      <c r="R29">
        <f t="shared" si="4"/>
        <v>1</v>
      </c>
      <c r="S29">
        <v>3.6</v>
      </c>
      <c r="T29">
        <v>0</v>
      </c>
      <c r="U29">
        <v>0</v>
      </c>
      <c r="V29" s="5">
        <v>0</v>
      </c>
    </row>
    <row r="30" spans="1:22" x14ac:dyDescent="0.2">
      <c r="A30" t="s">
        <v>158</v>
      </c>
      <c r="B30" t="s">
        <v>32</v>
      </c>
      <c r="C30">
        <v>147</v>
      </c>
      <c r="D30">
        <v>151</v>
      </c>
      <c r="E30" s="1">
        <v>0.27200000000000002</v>
      </c>
      <c r="F30">
        <v>21</v>
      </c>
      <c r="G30" s="2">
        <v>26000000</v>
      </c>
      <c r="H30" s="7">
        <f t="shared" si="1"/>
        <v>15</v>
      </c>
      <c r="I30" t="s">
        <v>186</v>
      </c>
      <c r="J30">
        <f t="shared" si="2"/>
        <v>1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  <c r="P30">
        <f t="shared" si="2"/>
        <v>0</v>
      </c>
      <c r="Q30">
        <f t="shared" si="3"/>
        <v>0</v>
      </c>
      <c r="R30">
        <f t="shared" si="4"/>
        <v>0</v>
      </c>
      <c r="S30">
        <v>3.8</v>
      </c>
      <c r="T30">
        <v>0</v>
      </c>
      <c r="U30">
        <v>0</v>
      </c>
      <c r="V30" s="5">
        <v>0</v>
      </c>
    </row>
    <row r="31" spans="1:22" x14ac:dyDescent="0.2">
      <c r="A31" t="s">
        <v>98</v>
      </c>
      <c r="B31" t="s">
        <v>86</v>
      </c>
      <c r="C31">
        <v>141</v>
      </c>
      <c r="D31">
        <v>132</v>
      </c>
      <c r="E31" s="1">
        <v>0.254</v>
      </c>
      <c r="F31">
        <v>21</v>
      </c>
      <c r="G31" s="2">
        <v>760000</v>
      </c>
      <c r="H31" s="7">
        <f t="shared" si="1"/>
        <v>98</v>
      </c>
      <c r="I31" t="s">
        <v>100</v>
      </c>
      <c r="J31">
        <f t="shared" si="2"/>
        <v>0</v>
      </c>
      <c r="K31">
        <f t="shared" si="2"/>
        <v>0</v>
      </c>
      <c r="L31">
        <f t="shared" si="2"/>
        <v>0</v>
      </c>
      <c r="M31">
        <f t="shared" si="2"/>
        <v>1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3"/>
        <v>1</v>
      </c>
      <c r="R31">
        <f t="shared" si="4"/>
        <v>0</v>
      </c>
      <c r="S31">
        <v>2.2000000000000002</v>
      </c>
      <c r="T31">
        <v>0</v>
      </c>
      <c r="U31">
        <v>0</v>
      </c>
      <c r="V31" s="5">
        <v>0</v>
      </c>
    </row>
    <row r="32" spans="1:22" x14ac:dyDescent="0.2">
      <c r="A32" t="s">
        <v>112</v>
      </c>
      <c r="B32" t="s">
        <v>35</v>
      </c>
      <c r="C32">
        <v>150</v>
      </c>
      <c r="D32">
        <v>151</v>
      </c>
      <c r="E32" s="1">
        <v>0.26300000000000001</v>
      </c>
      <c r="F32">
        <v>22</v>
      </c>
      <c r="G32" s="2">
        <v>760000</v>
      </c>
      <c r="H32" s="7">
        <f t="shared" si="1"/>
        <v>98</v>
      </c>
      <c r="I32" t="s">
        <v>121</v>
      </c>
      <c r="J32">
        <f t="shared" si="2"/>
        <v>0</v>
      </c>
      <c r="K32">
        <f t="shared" si="2"/>
        <v>0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2"/>
        <v>1</v>
      </c>
      <c r="P32">
        <f t="shared" si="2"/>
        <v>0</v>
      </c>
      <c r="Q32">
        <f t="shared" si="3"/>
        <v>1</v>
      </c>
      <c r="R32">
        <f t="shared" si="4"/>
        <v>0</v>
      </c>
      <c r="S32">
        <v>3.6</v>
      </c>
      <c r="T32">
        <v>0</v>
      </c>
      <c r="U32">
        <v>0</v>
      </c>
      <c r="V32" s="5">
        <v>0</v>
      </c>
    </row>
    <row r="33" spans="1:22" x14ac:dyDescent="0.2">
      <c r="A33" t="s">
        <v>95</v>
      </c>
      <c r="B33" t="s">
        <v>96</v>
      </c>
      <c r="C33">
        <v>118</v>
      </c>
      <c r="D33">
        <v>104</v>
      </c>
      <c r="E33" s="1">
        <v>0.248</v>
      </c>
      <c r="F33">
        <v>9</v>
      </c>
      <c r="G33" s="2">
        <v>2000000</v>
      </c>
      <c r="H33" s="7">
        <f t="shared" si="1"/>
        <v>95</v>
      </c>
      <c r="I33" t="s">
        <v>100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1</v>
      </c>
      <c r="N33">
        <f t="shared" si="2"/>
        <v>0</v>
      </c>
      <c r="O33">
        <f t="shared" si="2"/>
        <v>0</v>
      </c>
      <c r="P33">
        <f t="shared" si="2"/>
        <v>0</v>
      </c>
      <c r="Q33">
        <f t="shared" si="3"/>
        <v>1</v>
      </c>
      <c r="R33">
        <f t="shared" si="4"/>
        <v>0</v>
      </c>
      <c r="S33">
        <v>0.7</v>
      </c>
      <c r="T33">
        <v>0</v>
      </c>
      <c r="U33">
        <v>0</v>
      </c>
      <c r="V33" s="5">
        <v>0</v>
      </c>
    </row>
    <row r="34" spans="1:22" x14ac:dyDescent="0.2">
      <c r="A34" t="s">
        <v>155</v>
      </c>
      <c r="B34" t="s">
        <v>33</v>
      </c>
      <c r="C34">
        <v>153</v>
      </c>
      <c r="D34">
        <v>161</v>
      </c>
      <c r="E34" s="1">
        <v>0.27800000000000002</v>
      </c>
      <c r="F34">
        <v>19</v>
      </c>
      <c r="G34" s="2">
        <v>11100000</v>
      </c>
      <c r="H34" s="7">
        <f t="shared" si="1"/>
        <v>60</v>
      </c>
      <c r="I34" t="s">
        <v>186</v>
      </c>
      <c r="J34">
        <f t="shared" si="2"/>
        <v>1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2"/>
        <v>0</v>
      </c>
      <c r="P34">
        <f t="shared" si="2"/>
        <v>0</v>
      </c>
      <c r="Q34">
        <f t="shared" si="3"/>
        <v>0</v>
      </c>
      <c r="R34">
        <f t="shared" si="4"/>
        <v>0</v>
      </c>
      <c r="S34">
        <v>5.2</v>
      </c>
      <c r="T34">
        <v>0</v>
      </c>
      <c r="U34">
        <v>0</v>
      </c>
      <c r="V34" s="5">
        <v>1</v>
      </c>
    </row>
    <row r="35" spans="1:22" x14ac:dyDescent="0.2">
      <c r="A35" t="s">
        <v>103</v>
      </c>
      <c r="B35" t="s">
        <v>34</v>
      </c>
      <c r="C35">
        <v>144</v>
      </c>
      <c r="D35">
        <v>165</v>
      </c>
      <c r="E35" s="1">
        <v>0.28699999999999998</v>
      </c>
      <c r="F35">
        <v>30</v>
      </c>
      <c r="G35" s="2">
        <v>32500000</v>
      </c>
      <c r="H35" s="7">
        <f t="shared" si="1"/>
        <v>6</v>
      </c>
      <c r="I35" t="s">
        <v>121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1</v>
      </c>
      <c r="P35">
        <f t="shared" si="2"/>
        <v>0</v>
      </c>
      <c r="Q35">
        <f t="shared" si="3"/>
        <v>1</v>
      </c>
      <c r="R35">
        <f t="shared" si="4"/>
        <v>0</v>
      </c>
      <c r="S35">
        <v>5.5</v>
      </c>
      <c r="T35">
        <v>0</v>
      </c>
      <c r="U35">
        <v>1</v>
      </c>
      <c r="V35" s="5">
        <v>0</v>
      </c>
    </row>
    <row r="36" spans="1:22" x14ac:dyDescent="0.2">
      <c r="A36" t="s">
        <v>105</v>
      </c>
      <c r="B36" t="s">
        <v>86</v>
      </c>
      <c r="C36">
        <v>148</v>
      </c>
      <c r="D36">
        <v>151</v>
      </c>
      <c r="E36" s="1">
        <v>0.26300000000000001</v>
      </c>
      <c r="F36">
        <v>20</v>
      </c>
      <c r="G36" s="2">
        <v>25000000</v>
      </c>
      <c r="H36" s="7">
        <f t="shared" si="1"/>
        <v>17</v>
      </c>
      <c r="I36" t="s">
        <v>121</v>
      </c>
      <c r="J36">
        <f t="shared" si="2"/>
        <v>0</v>
      </c>
      <c r="K36">
        <f t="shared" si="2"/>
        <v>0</v>
      </c>
      <c r="L36">
        <f t="shared" si="2"/>
        <v>0</v>
      </c>
      <c r="M36">
        <f t="shared" si="2"/>
        <v>0</v>
      </c>
      <c r="N36">
        <f t="shared" si="2"/>
        <v>0</v>
      </c>
      <c r="O36">
        <f t="shared" si="2"/>
        <v>1</v>
      </c>
      <c r="P36">
        <f t="shared" si="2"/>
        <v>0</v>
      </c>
      <c r="Q36">
        <f t="shared" si="3"/>
        <v>1</v>
      </c>
      <c r="R36">
        <f t="shared" si="4"/>
        <v>0</v>
      </c>
      <c r="S36">
        <v>4</v>
      </c>
      <c r="T36">
        <v>0</v>
      </c>
      <c r="U36">
        <v>1</v>
      </c>
      <c r="V36" s="5">
        <v>0</v>
      </c>
    </row>
    <row r="37" spans="1:22" x14ac:dyDescent="0.2">
      <c r="A37" t="s">
        <v>168</v>
      </c>
      <c r="B37" t="s">
        <v>37</v>
      </c>
      <c r="C37">
        <v>147</v>
      </c>
      <c r="D37">
        <v>145</v>
      </c>
      <c r="E37" s="1">
        <v>0.26400000000000001</v>
      </c>
      <c r="F37">
        <v>24</v>
      </c>
      <c r="G37" s="2">
        <v>4900000</v>
      </c>
      <c r="H37" s="7">
        <f t="shared" si="1"/>
        <v>85</v>
      </c>
      <c r="I37" t="s">
        <v>186</v>
      </c>
      <c r="J37">
        <f t="shared" si="2"/>
        <v>1</v>
      </c>
      <c r="K37">
        <f t="shared" si="2"/>
        <v>0</v>
      </c>
      <c r="L37">
        <f t="shared" si="2"/>
        <v>0</v>
      </c>
      <c r="M37">
        <f t="shared" si="2"/>
        <v>0</v>
      </c>
      <c r="N37">
        <f t="shared" si="2"/>
        <v>0</v>
      </c>
      <c r="O37">
        <f t="shared" si="2"/>
        <v>0</v>
      </c>
      <c r="P37">
        <f t="shared" si="2"/>
        <v>0</v>
      </c>
      <c r="Q37">
        <f t="shared" si="3"/>
        <v>0</v>
      </c>
      <c r="R37">
        <f t="shared" si="4"/>
        <v>0</v>
      </c>
      <c r="S37">
        <v>3</v>
      </c>
      <c r="T37">
        <v>0</v>
      </c>
      <c r="U37">
        <v>0</v>
      </c>
      <c r="V37" s="5">
        <v>0</v>
      </c>
    </row>
    <row r="38" spans="1:22" x14ac:dyDescent="0.2">
      <c r="A38" t="s">
        <v>66</v>
      </c>
      <c r="B38" t="s">
        <v>65</v>
      </c>
      <c r="C38">
        <v>120</v>
      </c>
      <c r="D38">
        <v>112</v>
      </c>
      <c r="E38" s="1">
        <v>0.26400000000000001</v>
      </c>
      <c r="F38">
        <v>15</v>
      </c>
      <c r="G38" s="2">
        <v>15000000</v>
      </c>
      <c r="H38" s="7">
        <f t="shared" si="1"/>
        <v>41</v>
      </c>
      <c r="I38" t="s">
        <v>100</v>
      </c>
      <c r="J38">
        <f t="shared" si="2"/>
        <v>0</v>
      </c>
      <c r="K38">
        <f t="shared" si="2"/>
        <v>0</v>
      </c>
      <c r="L38">
        <f t="shared" si="2"/>
        <v>0</v>
      </c>
      <c r="M38">
        <f t="shared" si="2"/>
        <v>1</v>
      </c>
      <c r="N38">
        <f t="shared" si="2"/>
        <v>0</v>
      </c>
      <c r="O38">
        <f t="shared" si="2"/>
        <v>0</v>
      </c>
      <c r="P38">
        <f t="shared" si="2"/>
        <v>0</v>
      </c>
      <c r="Q38">
        <f t="shared" si="3"/>
        <v>1</v>
      </c>
      <c r="R38">
        <f t="shared" si="4"/>
        <v>0</v>
      </c>
      <c r="S38">
        <v>2</v>
      </c>
      <c r="T38">
        <v>0</v>
      </c>
      <c r="U38">
        <v>0</v>
      </c>
      <c r="V38" s="5">
        <v>0</v>
      </c>
    </row>
    <row r="39" spans="1:22" x14ac:dyDescent="0.2">
      <c r="A39" t="s">
        <v>94</v>
      </c>
      <c r="B39" t="s">
        <v>44</v>
      </c>
      <c r="C39">
        <v>135</v>
      </c>
      <c r="D39">
        <v>128</v>
      </c>
      <c r="E39" s="1">
        <v>0.25900000000000001</v>
      </c>
      <c r="F39">
        <v>18</v>
      </c>
      <c r="G39" s="2">
        <v>760000</v>
      </c>
      <c r="H39" s="7">
        <f t="shared" si="1"/>
        <v>98</v>
      </c>
      <c r="I39" t="s">
        <v>187</v>
      </c>
      <c r="J39">
        <f t="shared" si="2"/>
        <v>0</v>
      </c>
      <c r="K39">
        <f t="shared" si="2"/>
        <v>0</v>
      </c>
      <c r="L39">
        <f t="shared" si="2"/>
        <v>0</v>
      </c>
      <c r="M39">
        <f t="shared" si="2"/>
        <v>0</v>
      </c>
      <c r="N39">
        <f t="shared" si="2"/>
        <v>1</v>
      </c>
      <c r="O39">
        <f t="shared" si="2"/>
        <v>0</v>
      </c>
      <c r="P39">
        <f t="shared" si="2"/>
        <v>0</v>
      </c>
      <c r="Q39">
        <f t="shared" si="3"/>
        <v>0</v>
      </c>
      <c r="R39">
        <f t="shared" si="4"/>
        <v>1</v>
      </c>
      <c r="S39">
        <v>2.5</v>
      </c>
      <c r="T39">
        <v>1</v>
      </c>
      <c r="U39">
        <v>0</v>
      </c>
      <c r="V39" s="5">
        <v>1</v>
      </c>
    </row>
    <row r="40" spans="1:22" x14ac:dyDescent="0.2">
      <c r="A40" t="s">
        <v>25</v>
      </c>
      <c r="B40" t="s">
        <v>45</v>
      </c>
      <c r="C40">
        <v>135</v>
      </c>
      <c r="D40">
        <v>137</v>
      </c>
      <c r="E40" s="1">
        <v>0.28399999999999997</v>
      </c>
      <c r="F40">
        <v>14</v>
      </c>
      <c r="G40" s="2">
        <v>6000000</v>
      </c>
      <c r="H40" s="7">
        <f t="shared" si="1"/>
        <v>79</v>
      </c>
      <c r="I40" t="s">
        <v>47</v>
      </c>
      <c r="J40">
        <f t="shared" si="2"/>
        <v>0</v>
      </c>
      <c r="K40">
        <f t="shared" si="2"/>
        <v>1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  <c r="P40">
        <f t="shared" si="2"/>
        <v>0</v>
      </c>
      <c r="Q40">
        <f t="shared" si="3"/>
        <v>0</v>
      </c>
      <c r="R40">
        <f t="shared" si="4"/>
        <v>0</v>
      </c>
      <c r="S40">
        <v>2.8</v>
      </c>
      <c r="T40">
        <v>0</v>
      </c>
      <c r="U40">
        <v>0</v>
      </c>
      <c r="V40" s="5">
        <v>1</v>
      </c>
    </row>
    <row r="41" spans="1:22" x14ac:dyDescent="0.2">
      <c r="A41" t="s">
        <v>113</v>
      </c>
      <c r="B41" t="s">
        <v>42</v>
      </c>
      <c r="C41">
        <v>154</v>
      </c>
      <c r="D41">
        <v>161</v>
      </c>
      <c r="E41" s="1">
        <v>0.26900000000000002</v>
      </c>
      <c r="F41">
        <v>26</v>
      </c>
      <c r="G41" s="2">
        <v>760000</v>
      </c>
      <c r="H41" s="7">
        <f t="shared" si="1"/>
        <v>98</v>
      </c>
      <c r="I41" t="s">
        <v>121</v>
      </c>
      <c r="J41">
        <f t="shared" si="2"/>
        <v>0</v>
      </c>
      <c r="K41">
        <f t="shared" si="2"/>
        <v>0</v>
      </c>
      <c r="L41">
        <f t="shared" si="2"/>
        <v>0</v>
      </c>
      <c r="M41">
        <f t="shared" si="2"/>
        <v>0</v>
      </c>
      <c r="N41">
        <f t="shared" si="2"/>
        <v>0</v>
      </c>
      <c r="O41">
        <f t="shared" si="2"/>
        <v>1</v>
      </c>
      <c r="P41">
        <f t="shared" si="2"/>
        <v>0</v>
      </c>
      <c r="Q41">
        <f t="shared" si="3"/>
        <v>1</v>
      </c>
      <c r="R41">
        <f t="shared" si="4"/>
        <v>0</v>
      </c>
      <c r="S41">
        <v>4.5</v>
      </c>
      <c r="T41">
        <v>0</v>
      </c>
      <c r="U41">
        <v>0</v>
      </c>
      <c r="V41" s="5">
        <v>1</v>
      </c>
    </row>
    <row r="42" spans="1:22" x14ac:dyDescent="0.2">
      <c r="A42" t="s">
        <v>127</v>
      </c>
      <c r="B42" t="s">
        <v>70</v>
      </c>
      <c r="C42">
        <v>135</v>
      </c>
      <c r="D42">
        <v>138</v>
      </c>
      <c r="E42" s="1">
        <v>0.26800000000000002</v>
      </c>
      <c r="F42">
        <v>27</v>
      </c>
      <c r="G42" s="2">
        <v>13000000</v>
      </c>
      <c r="H42" s="7">
        <f t="shared" si="1"/>
        <v>45</v>
      </c>
      <c r="I42" t="s">
        <v>141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P42">
        <f t="shared" si="2"/>
        <v>1</v>
      </c>
      <c r="Q42">
        <f t="shared" si="3"/>
        <v>0</v>
      </c>
      <c r="R42">
        <f t="shared" si="4"/>
        <v>0</v>
      </c>
      <c r="S42">
        <v>1.9</v>
      </c>
      <c r="T42">
        <v>0</v>
      </c>
      <c r="U42">
        <v>0</v>
      </c>
      <c r="V42" s="5">
        <v>0</v>
      </c>
    </row>
    <row r="43" spans="1:22" x14ac:dyDescent="0.2">
      <c r="A43" t="s">
        <v>150</v>
      </c>
      <c r="B43" t="s">
        <v>89</v>
      </c>
      <c r="C43">
        <v>150</v>
      </c>
      <c r="D43">
        <v>164</v>
      </c>
      <c r="E43" s="1">
        <v>0.28100000000000003</v>
      </c>
      <c r="F43">
        <v>30</v>
      </c>
      <c r="G43" s="2">
        <v>24000000</v>
      </c>
      <c r="H43" s="7">
        <f t="shared" si="1"/>
        <v>21</v>
      </c>
      <c r="I43" t="s">
        <v>186</v>
      </c>
      <c r="J43">
        <f t="shared" si="2"/>
        <v>1</v>
      </c>
      <c r="K43">
        <f t="shared" si="2"/>
        <v>0</v>
      </c>
      <c r="L43">
        <f t="shared" si="2"/>
        <v>0</v>
      </c>
      <c r="M43">
        <f t="shared" si="2"/>
        <v>0</v>
      </c>
      <c r="N43">
        <f t="shared" si="2"/>
        <v>0</v>
      </c>
      <c r="O43">
        <f t="shared" si="2"/>
        <v>0</v>
      </c>
      <c r="P43">
        <f t="shared" si="2"/>
        <v>0</v>
      </c>
      <c r="Q43">
        <f t="shared" si="3"/>
        <v>0</v>
      </c>
      <c r="R43">
        <f t="shared" si="4"/>
        <v>0</v>
      </c>
      <c r="S43">
        <v>6</v>
      </c>
      <c r="T43">
        <v>0</v>
      </c>
      <c r="U43">
        <v>0</v>
      </c>
      <c r="V43" s="5">
        <v>0</v>
      </c>
    </row>
    <row r="44" spans="1:22" x14ac:dyDescent="0.2">
      <c r="A44" t="s">
        <v>23</v>
      </c>
      <c r="B44" t="s">
        <v>43</v>
      </c>
      <c r="C44">
        <v>130</v>
      </c>
      <c r="D44">
        <v>108</v>
      </c>
      <c r="E44" s="1">
        <v>0.23799999999999999</v>
      </c>
      <c r="F44">
        <v>22</v>
      </c>
      <c r="G44" s="2">
        <v>760000</v>
      </c>
      <c r="H44" s="7">
        <f t="shared" si="1"/>
        <v>98</v>
      </c>
      <c r="I44" t="s">
        <v>47</v>
      </c>
      <c r="J44">
        <f t="shared" si="2"/>
        <v>0</v>
      </c>
      <c r="K44">
        <f t="shared" si="2"/>
        <v>1</v>
      </c>
      <c r="L44">
        <f t="shared" si="2"/>
        <v>0</v>
      </c>
      <c r="M44">
        <f t="shared" si="2"/>
        <v>0</v>
      </c>
      <c r="N44">
        <f t="shared" si="2"/>
        <v>0</v>
      </c>
      <c r="O44">
        <f t="shared" si="2"/>
        <v>0</v>
      </c>
      <c r="P44">
        <f t="shared" si="2"/>
        <v>0</v>
      </c>
      <c r="Q44">
        <f t="shared" si="3"/>
        <v>0</v>
      </c>
      <c r="R44">
        <f t="shared" si="4"/>
        <v>0</v>
      </c>
      <c r="S44">
        <v>2.6</v>
      </c>
      <c r="T44">
        <v>0</v>
      </c>
      <c r="U44">
        <v>0</v>
      </c>
      <c r="V44" s="5">
        <v>0</v>
      </c>
    </row>
    <row r="45" spans="1:22" x14ac:dyDescent="0.2">
      <c r="A45" t="s">
        <v>101</v>
      </c>
      <c r="B45" t="s">
        <v>43</v>
      </c>
      <c r="C45">
        <v>158</v>
      </c>
      <c r="D45">
        <v>172</v>
      </c>
      <c r="E45" s="1">
        <v>0.27900000000000003</v>
      </c>
      <c r="F45">
        <v>29</v>
      </c>
      <c r="G45" s="2">
        <v>34100000</v>
      </c>
      <c r="H45" s="7">
        <f t="shared" si="1"/>
        <v>4</v>
      </c>
      <c r="I45" t="s">
        <v>121</v>
      </c>
      <c r="J45">
        <f t="shared" si="2"/>
        <v>0</v>
      </c>
      <c r="K45">
        <f t="shared" si="2"/>
        <v>0</v>
      </c>
      <c r="L45">
        <f t="shared" si="2"/>
        <v>0</v>
      </c>
      <c r="M45">
        <f t="shared" si="2"/>
        <v>0</v>
      </c>
      <c r="N45">
        <f t="shared" si="2"/>
        <v>0</v>
      </c>
      <c r="O45">
        <f t="shared" si="2"/>
        <v>1</v>
      </c>
      <c r="P45">
        <f t="shared" si="2"/>
        <v>0</v>
      </c>
      <c r="Q45">
        <f t="shared" si="3"/>
        <v>1</v>
      </c>
      <c r="R45">
        <f t="shared" si="4"/>
        <v>0</v>
      </c>
      <c r="S45">
        <v>6.3</v>
      </c>
      <c r="T45">
        <v>0</v>
      </c>
      <c r="U45">
        <v>0</v>
      </c>
      <c r="V45" s="5">
        <v>0</v>
      </c>
    </row>
    <row r="46" spans="1:22" x14ac:dyDescent="0.2">
      <c r="A46" t="s">
        <v>48</v>
      </c>
      <c r="B46" t="s">
        <v>28</v>
      </c>
      <c r="C46">
        <v>156</v>
      </c>
      <c r="D46">
        <v>190</v>
      </c>
      <c r="E46" s="1">
        <v>0.30399999999999999</v>
      </c>
      <c r="F46">
        <v>28</v>
      </c>
      <c r="G46" s="2">
        <v>27000000</v>
      </c>
      <c r="H46" s="7">
        <f t="shared" si="1"/>
        <v>13</v>
      </c>
      <c r="I46" t="s">
        <v>76</v>
      </c>
      <c r="J46">
        <f t="shared" si="2"/>
        <v>0</v>
      </c>
      <c r="K46">
        <f t="shared" si="2"/>
        <v>0</v>
      </c>
      <c r="L46">
        <f t="shared" si="2"/>
        <v>1</v>
      </c>
      <c r="M46">
        <f t="shared" si="2"/>
        <v>0</v>
      </c>
      <c r="N46">
        <f t="shared" si="2"/>
        <v>0</v>
      </c>
      <c r="O46">
        <f t="shared" si="2"/>
        <v>0</v>
      </c>
      <c r="P46">
        <f t="shared" si="2"/>
        <v>0</v>
      </c>
      <c r="Q46">
        <f t="shared" si="3"/>
        <v>0</v>
      </c>
      <c r="R46">
        <f t="shared" si="4"/>
        <v>1</v>
      </c>
      <c r="S46">
        <v>5.5</v>
      </c>
      <c r="T46">
        <v>1</v>
      </c>
      <c r="U46">
        <v>0</v>
      </c>
      <c r="V46" s="5">
        <v>1</v>
      </c>
    </row>
    <row r="47" spans="1:22" x14ac:dyDescent="0.2">
      <c r="A47" t="s">
        <v>13</v>
      </c>
      <c r="B47" t="s">
        <v>33</v>
      </c>
      <c r="C47">
        <v>139</v>
      </c>
      <c r="D47">
        <v>147</v>
      </c>
      <c r="E47" s="1">
        <v>0.28499999999999998</v>
      </c>
      <c r="F47">
        <v>9</v>
      </c>
      <c r="G47" s="2">
        <v>760000</v>
      </c>
      <c r="H47" s="7">
        <f t="shared" si="1"/>
        <v>98</v>
      </c>
      <c r="I47" t="s">
        <v>47</v>
      </c>
      <c r="J47">
        <f t="shared" si="2"/>
        <v>0</v>
      </c>
      <c r="K47">
        <f t="shared" si="2"/>
        <v>1</v>
      </c>
      <c r="L47">
        <f t="shared" si="2"/>
        <v>0</v>
      </c>
      <c r="M47">
        <f t="shared" si="2"/>
        <v>0</v>
      </c>
      <c r="N47">
        <f t="shared" si="2"/>
        <v>0</v>
      </c>
      <c r="O47">
        <f t="shared" si="2"/>
        <v>0</v>
      </c>
      <c r="P47">
        <f t="shared" si="2"/>
        <v>0</v>
      </c>
      <c r="Q47">
        <f t="shared" si="3"/>
        <v>0</v>
      </c>
      <c r="R47">
        <f t="shared" si="4"/>
        <v>0</v>
      </c>
      <c r="S47">
        <v>3.6</v>
      </c>
      <c r="T47">
        <v>0</v>
      </c>
      <c r="U47">
        <v>0</v>
      </c>
      <c r="V47" s="5">
        <v>0</v>
      </c>
    </row>
    <row r="48" spans="1:22" x14ac:dyDescent="0.2">
      <c r="A48" t="s">
        <v>153</v>
      </c>
      <c r="B48" t="s">
        <v>37</v>
      </c>
      <c r="C48">
        <v>148</v>
      </c>
      <c r="D48">
        <v>152</v>
      </c>
      <c r="E48" s="1">
        <v>0.27</v>
      </c>
      <c r="F48">
        <v>23</v>
      </c>
      <c r="G48" s="2">
        <v>25000000</v>
      </c>
      <c r="H48" s="7">
        <f t="shared" si="1"/>
        <v>17</v>
      </c>
      <c r="I48" t="s">
        <v>186</v>
      </c>
      <c r="J48">
        <f t="shared" si="2"/>
        <v>1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2"/>
        <v>0</v>
      </c>
      <c r="P48">
        <f t="shared" si="2"/>
        <v>0</v>
      </c>
      <c r="Q48">
        <f t="shared" si="3"/>
        <v>0</v>
      </c>
      <c r="R48">
        <f t="shared" si="4"/>
        <v>0</v>
      </c>
      <c r="S48">
        <v>3.2</v>
      </c>
      <c r="T48">
        <v>0</v>
      </c>
      <c r="U48">
        <v>1</v>
      </c>
      <c r="V48" s="5">
        <v>0</v>
      </c>
    </row>
    <row r="49" spans="1:22" x14ac:dyDescent="0.2">
      <c r="A49" t="s">
        <v>125</v>
      </c>
      <c r="B49" t="s">
        <v>65</v>
      </c>
      <c r="C49">
        <v>140</v>
      </c>
      <c r="D49">
        <v>128</v>
      </c>
      <c r="E49" s="1">
        <v>0.246</v>
      </c>
      <c r="F49">
        <v>35</v>
      </c>
      <c r="G49" s="2">
        <v>32000000</v>
      </c>
      <c r="H49" s="7">
        <f t="shared" si="1"/>
        <v>7</v>
      </c>
      <c r="I49" t="s">
        <v>141</v>
      </c>
      <c r="J49">
        <f t="shared" si="2"/>
        <v>0</v>
      </c>
      <c r="K49">
        <f t="shared" si="2"/>
        <v>0</v>
      </c>
      <c r="L49">
        <f t="shared" si="2"/>
        <v>0</v>
      </c>
      <c r="M49">
        <f t="shared" si="2"/>
        <v>0</v>
      </c>
      <c r="N49">
        <f t="shared" si="2"/>
        <v>0</v>
      </c>
      <c r="O49">
        <f t="shared" si="2"/>
        <v>0</v>
      </c>
      <c r="P49">
        <f t="shared" si="2"/>
        <v>1</v>
      </c>
      <c r="Q49">
        <f t="shared" si="3"/>
        <v>0</v>
      </c>
      <c r="R49">
        <f t="shared" si="4"/>
        <v>0</v>
      </c>
      <c r="S49">
        <v>2.1</v>
      </c>
      <c r="T49">
        <v>0</v>
      </c>
      <c r="U49">
        <v>0</v>
      </c>
      <c r="V49" s="5">
        <v>0</v>
      </c>
    </row>
    <row r="50" spans="1:22" x14ac:dyDescent="0.2">
      <c r="A50" t="s">
        <v>80</v>
      </c>
      <c r="B50" t="s">
        <v>65</v>
      </c>
      <c r="C50">
        <v>146</v>
      </c>
      <c r="D50">
        <v>152</v>
      </c>
      <c r="E50" s="1">
        <v>0.26600000000000001</v>
      </c>
      <c r="F50">
        <v>25</v>
      </c>
      <c r="G50" s="2">
        <v>14900000</v>
      </c>
      <c r="H50" s="7">
        <f t="shared" si="1"/>
        <v>43</v>
      </c>
      <c r="I50" t="s">
        <v>100</v>
      </c>
      <c r="J50">
        <f t="shared" si="2"/>
        <v>0</v>
      </c>
      <c r="K50">
        <f t="shared" si="2"/>
        <v>0</v>
      </c>
      <c r="L50">
        <f t="shared" si="2"/>
        <v>0</v>
      </c>
      <c r="M50">
        <f t="shared" si="2"/>
        <v>1</v>
      </c>
      <c r="N50">
        <f t="shared" si="2"/>
        <v>0</v>
      </c>
      <c r="O50">
        <f t="shared" si="2"/>
        <v>0</v>
      </c>
      <c r="P50">
        <f t="shared" si="2"/>
        <v>0</v>
      </c>
      <c r="Q50">
        <f t="shared" si="3"/>
        <v>1</v>
      </c>
      <c r="R50">
        <f t="shared" si="4"/>
        <v>0</v>
      </c>
      <c r="S50">
        <v>3.2</v>
      </c>
      <c r="T50">
        <v>0</v>
      </c>
      <c r="U50">
        <v>0</v>
      </c>
      <c r="V50" s="5">
        <v>0</v>
      </c>
    </row>
    <row r="51" spans="1:22" x14ac:dyDescent="0.2">
      <c r="A51" t="s">
        <v>134</v>
      </c>
      <c r="B51" t="s">
        <v>83</v>
      </c>
      <c r="C51">
        <v>138</v>
      </c>
      <c r="D51">
        <v>144</v>
      </c>
      <c r="E51" s="1">
        <v>0.27800000000000002</v>
      </c>
      <c r="F51">
        <v>14</v>
      </c>
      <c r="G51" s="2">
        <v>2200000</v>
      </c>
      <c r="H51" s="7">
        <f t="shared" si="1"/>
        <v>94</v>
      </c>
      <c r="I51" t="s">
        <v>141</v>
      </c>
      <c r="J51">
        <f t="shared" si="2"/>
        <v>0</v>
      </c>
      <c r="K51">
        <f t="shared" si="2"/>
        <v>0</v>
      </c>
      <c r="L51">
        <f t="shared" si="2"/>
        <v>0</v>
      </c>
      <c r="M51">
        <f t="shared" si="2"/>
        <v>0</v>
      </c>
      <c r="N51">
        <f t="shared" si="2"/>
        <v>0</v>
      </c>
      <c r="O51">
        <f t="shared" si="2"/>
        <v>0</v>
      </c>
      <c r="P51">
        <f t="shared" si="2"/>
        <v>1</v>
      </c>
      <c r="Q51">
        <f t="shared" si="3"/>
        <v>0</v>
      </c>
      <c r="R51">
        <f t="shared" si="4"/>
        <v>0</v>
      </c>
      <c r="S51">
        <v>1.5</v>
      </c>
      <c r="T51">
        <v>0</v>
      </c>
      <c r="U51">
        <v>0</v>
      </c>
      <c r="V51" s="5">
        <v>0</v>
      </c>
    </row>
    <row r="52" spans="1:22" x14ac:dyDescent="0.2">
      <c r="A52" t="s">
        <v>180</v>
      </c>
      <c r="B52" t="s">
        <v>43</v>
      </c>
      <c r="C52">
        <v>120</v>
      </c>
      <c r="D52">
        <v>110</v>
      </c>
      <c r="E52" s="1">
        <v>0.252</v>
      </c>
      <c r="F52">
        <v>10</v>
      </c>
      <c r="G52" s="2">
        <v>4950000</v>
      </c>
      <c r="H52" s="7">
        <f t="shared" si="1"/>
        <v>84</v>
      </c>
      <c r="I52" t="s">
        <v>187</v>
      </c>
      <c r="J52">
        <f t="shared" si="2"/>
        <v>0</v>
      </c>
      <c r="K52">
        <f t="shared" si="2"/>
        <v>0</v>
      </c>
      <c r="L52">
        <f t="shared" ref="K52:P94" si="6">IF($I52=L$1,1,0)</f>
        <v>0</v>
      </c>
      <c r="M52">
        <f t="shared" si="6"/>
        <v>0</v>
      </c>
      <c r="N52">
        <f t="shared" si="6"/>
        <v>1</v>
      </c>
      <c r="O52">
        <f t="shared" si="6"/>
        <v>0</v>
      </c>
      <c r="P52">
        <f t="shared" si="6"/>
        <v>0</v>
      </c>
      <c r="Q52">
        <f t="shared" si="3"/>
        <v>0</v>
      </c>
      <c r="R52">
        <f t="shared" si="4"/>
        <v>1</v>
      </c>
      <c r="S52">
        <v>1.2</v>
      </c>
      <c r="T52">
        <v>0</v>
      </c>
      <c r="U52">
        <v>0</v>
      </c>
      <c r="V52" s="5">
        <v>0</v>
      </c>
    </row>
    <row r="53" spans="1:22" x14ac:dyDescent="0.2">
      <c r="A53" t="s">
        <v>97</v>
      </c>
      <c r="B53" t="s">
        <v>89</v>
      </c>
      <c r="C53">
        <v>148</v>
      </c>
      <c r="D53">
        <v>146</v>
      </c>
      <c r="E53" s="1">
        <v>0.26800000000000002</v>
      </c>
      <c r="F53">
        <v>19</v>
      </c>
      <c r="G53" s="2">
        <v>8000000</v>
      </c>
      <c r="H53" s="7">
        <f t="shared" si="1"/>
        <v>73</v>
      </c>
      <c r="I53" t="s">
        <v>121</v>
      </c>
      <c r="J53">
        <f t="shared" ref="J53:P116" si="7">IF($I53=J$1,1,0)</f>
        <v>0</v>
      </c>
      <c r="K53">
        <f t="shared" si="6"/>
        <v>0</v>
      </c>
      <c r="L53">
        <f t="shared" si="6"/>
        <v>0</v>
      </c>
      <c r="M53">
        <f t="shared" si="6"/>
        <v>0</v>
      </c>
      <c r="N53">
        <f t="shared" si="6"/>
        <v>0</v>
      </c>
      <c r="O53">
        <f t="shared" si="6"/>
        <v>1</v>
      </c>
      <c r="P53">
        <f t="shared" si="6"/>
        <v>0</v>
      </c>
      <c r="Q53">
        <f t="shared" si="3"/>
        <v>1</v>
      </c>
      <c r="R53">
        <f t="shared" si="4"/>
        <v>0</v>
      </c>
      <c r="S53">
        <v>3.6</v>
      </c>
      <c r="T53">
        <v>0</v>
      </c>
      <c r="U53">
        <v>0</v>
      </c>
      <c r="V53" s="5">
        <v>0</v>
      </c>
    </row>
    <row r="54" spans="1:22" x14ac:dyDescent="0.2">
      <c r="A54" t="s">
        <v>20</v>
      </c>
      <c r="B54" t="s">
        <v>40</v>
      </c>
      <c r="C54">
        <v>138</v>
      </c>
      <c r="D54">
        <v>124</v>
      </c>
      <c r="E54" s="1">
        <v>0.24199999999999999</v>
      </c>
      <c r="F54">
        <v>18</v>
      </c>
      <c r="G54" s="2">
        <v>760000</v>
      </c>
      <c r="H54" s="7">
        <f t="shared" si="1"/>
        <v>98</v>
      </c>
      <c r="I54" t="s">
        <v>47</v>
      </c>
      <c r="J54">
        <f t="shared" si="7"/>
        <v>0</v>
      </c>
      <c r="K54">
        <f t="shared" si="6"/>
        <v>1</v>
      </c>
      <c r="L54">
        <f t="shared" si="6"/>
        <v>0</v>
      </c>
      <c r="M54">
        <f t="shared" si="6"/>
        <v>0</v>
      </c>
      <c r="N54">
        <f t="shared" si="6"/>
        <v>0</v>
      </c>
      <c r="O54">
        <f t="shared" si="6"/>
        <v>0</v>
      </c>
      <c r="P54">
        <f t="shared" si="6"/>
        <v>0</v>
      </c>
      <c r="Q54">
        <f t="shared" si="3"/>
        <v>0</v>
      </c>
      <c r="R54">
        <f t="shared" si="4"/>
        <v>0</v>
      </c>
      <c r="S54">
        <v>2.2000000000000002</v>
      </c>
      <c r="T54">
        <v>0</v>
      </c>
      <c r="U54">
        <v>1</v>
      </c>
      <c r="V54" s="5">
        <v>0</v>
      </c>
    </row>
    <row r="55" spans="1:22" x14ac:dyDescent="0.2">
      <c r="A55" t="s">
        <v>166</v>
      </c>
      <c r="B55" t="s">
        <v>38</v>
      </c>
      <c r="C55">
        <v>140</v>
      </c>
      <c r="D55">
        <v>134</v>
      </c>
      <c r="E55" s="1">
        <v>0.25800000000000001</v>
      </c>
      <c r="F55">
        <v>19</v>
      </c>
      <c r="G55" s="2">
        <v>760000</v>
      </c>
      <c r="H55" s="7">
        <f t="shared" si="1"/>
        <v>98</v>
      </c>
      <c r="I55" t="s">
        <v>186</v>
      </c>
      <c r="J55">
        <f t="shared" si="7"/>
        <v>1</v>
      </c>
      <c r="K55">
        <f t="shared" si="6"/>
        <v>0</v>
      </c>
      <c r="L55">
        <f t="shared" si="6"/>
        <v>0</v>
      </c>
      <c r="M55">
        <f t="shared" si="6"/>
        <v>0</v>
      </c>
      <c r="N55">
        <f t="shared" si="6"/>
        <v>0</v>
      </c>
      <c r="O55">
        <f t="shared" si="6"/>
        <v>0</v>
      </c>
      <c r="P55">
        <f t="shared" si="6"/>
        <v>0</v>
      </c>
      <c r="Q55">
        <f t="shared" si="3"/>
        <v>0</v>
      </c>
      <c r="R55">
        <f t="shared" si="4"/>
        <v>0</v>
      </c>
      <c r="S55">
        <v>1.7</v>
      </c>
      <c r="T55">
        <v>0</v>
      </c>
      <c r="U55">
        <v>0</v>
      </c>
      <c r="V55" s="5">
        <v>0</v>
      </c>
    </row>
    <row r="56" spans="1:22" x14ac:dyDescent="0.2">
      <c r="A56" t="s">
        <v>136</v>
      </c>
      <c r="B56" t="s">
        <v>29</v>
      </c>
      <c r="C56">
        <v>136</v>
      </c>
      <c r="D56">
        <v>132</v>
      </c>
      <c r="E56" s="1">
        <v>0.25900000000000001</v>
      </c>
      <c r="F56">
        <v>23</v>
      </c>
      <c r="G56" s="2">
        <v>8200000</v>
      </c>
      <c r="H56" s="7">
        <f t="shared" si="1"/>
        <v>72</v>
      </c>
      <c r="I56" t="s">
        <v>187</v>
      </c>
      <c r="J56">
        <f t="shared" si="7"/>
        <v>0</v>
      </c>
      <c r="K56">
        <f t="shared" si="6"/>
        <v>0</v>
      </c>
      <c r="L56">
        <f t="shared" si="6"/>
        <v>0</v>
      </c>
      <c r="M56">
        <f t="shared" si="6"/>
        <v>0</v>
      </c>
      <c r="N56">
        <f t="shared" si="6"/>
        <v>1</v>
      </c>
      <c r="O56">
        <f t="shared" si="6"/>
        <v>0</v>
      </c>
      <c r="P56">
        <f t="shared" si="6"/>
        <v>0</v>
      </c>
      <c r="Q56">
        <f t="shared" si="3"/>
        <v>0</v>
      </c>
      <c r="R56">
        <f t="shared" si="4"/>
        <v>1</v>
      </c>
      <c r="S56">
        <v>1.8</v>
      </c>
      <c r="T56">
        <v>0</v>
      </c>
      <c r="U56">
        <v>0</v>
      </c>
      <c r="V56" s="5">
        <v>0</v>
      </c>
    </row>
    <row r="57" spans="1:22" x14ac:dyDescent="0.2">
      <c r="A57" t="s">
        <v>161</v>
      </c>
      <c r="B57" t="s">
        <v>86</v>
      </c>
      <c r="C57">
        <v>148</v>
      </c>
      <c r="D57">
        <v>149</v>
      </c>
      <c r="E57" s="1">
        <v>0.26600000000000001</v>
      </c>
      <c r="F57">
        <v>20</v>
      </c>
      <c r="G57" s="2">
        <v>20000000</v>
      </c>
      <c r="H57" s="7">
        <f t="shared" si="1"/>
        <v>26</v>
      </c>
      <c r="I57" t="s">
        <v>186</v>
      </c>
      <c r="J57">
        <f t="shared" si="7"/>
        <v>1</v>
      </c>
      <c r="K57">
        <f t="shared" si="6"/>
        <v>0</v>
      </c>
      <c r="L57">
        <f t="shared" si="6"/>
        <v>0</v>
      </c>
      <c r="M57">
        <f t="shared" si="6"/>
        <v>0</v>
      </c>
      <c r="N57">
        <f t="shared" si="6"/>
        <v>0</v>
      </c>
      <c r="O57">
        <f t="shared" si="6"/>
        <v>0</v>
      </c>
      <c r="P57">
        <f t="shared" si="6"/>
        <v>0</v>
      </c>
      <c r="Q57">
        <f t="shared" si="3"/>
        <v>0</v>
      </c>
      <c r="R57">
        <f t="shared" si="4"/>
        <v>0</v>
      </c>
      <c r="S57">
        <v>3</v>
      </c>
      <c r="T57">
        <v>0</v>
      </c>
      <c r="U57">
        <v>0</v>
      </c>
      <c r="V57" s="5">
        <v>0</v>
      </c>
    </row>
    <row r="58" spans="1:22" x14ac:dyDescent="0.2">
      <c r="A58" t="s">
        <v>126</v>
      </c>
      <c r="B58" t="s">
        <v>43</v>
      </c>
      <c r="C58">
        <v>142</v>
      </c>
      <c r="D58">
        <v>150</v>
      </c>
      <c r="E58" s="1">
        <v>0.27200000000000002</v>
      </c>
      <c r="F58">
        <v>33</v>
      </c>
      <c r="G58" s="2">
        <v>12000000</v>
      </c>
      <c r="H58" s="7">
        <f t="shared" si="1"/>
        <v>50</v>
      </c>
      <c r="I58" t="s">
        <v>141</v>
      </c>
      <c r="J58">
        <f t="shared" si="7"/>
        <v>0</v>
      </c>
      <c r="K58">
        <f t="shared" si="6"/>
        <v>0</v>
      </c>
      <c r="L58">
        <f t="shared" si="6"/>
        <v>0</v>
      </c>
      <c r="M58">
        <f t="shared" si="6"/>
        <v>0</v>
      </c>
      <c r="N58">
        <f t="shared" si="6"/>
        <v>0</v>
      </c>
      <c r="O58">
        <f t="shared" si="6"/>
        <v>0</v>
      </c>
      <c r="P58">
        <f t="shared" si="6"/>
        <v>1</v>
      </c>
      <c r="Q58">
        <f t="shared" si="3"/>
        <v>0</v>
      </c>
      <c r="R58">
        <f t="shared" si="4"/>
        <v>0</v>
      </c>
      <c r="S58">
        <v>2.8</v>
      </c>
      <c r="T58">
        <v>0</v>
      </c>
      <c r="U58">
        <v>0</v>
      </c>
      <c r="V58" s="5">
        <v>0</v>
      </c>
    </row>
    <row r="59" spans="1:22" x14ac:dyDescent="0.2">
      <c r="A59" t="s">
        <v>115</v>
      </c>
      <c r="B59" t="s">
        <v>30</v>
      </c>
      <c r="C59">
        <v>147</v>
      </c>
      <c r="D59">
        <v>144</v>
      </c>
      <c r="E59" s="1">
        <v>0.26</v>
      </c>
      <c r="F59">
        <v>17</v>
      </c>
      <c r="G59" s="2">
        <v>11500000</v>
      </c>
      <c r="H59" s="7">
        <f t="shared" si="1"/>
        <v>56</v>
      </c>
      <c r="I59" t="s">
        <v>121</v>
      </c>
      <c r="J59">
        <f t="shared" si="7"/>
        <v>0</v>
      </c>
      <c r="K59">
        <f t="shared" si="6"/>
        <v>0</v>
      </c>
      <c r="L59">
        <f t="shared" si="6"/>
        <v>0</v>
      </c>
      <c r="M59">
        <f t="shared" si="6"/>
        <v>0</v>
      </c>
      <c r="N59">
        <f t="shared" si="6"/>
        <v>0</v>
      </c>
      <c r="O59">
        <f t="shared" si="6"/>
        <v>1</v>
      </c>
      <c r="P59">
        <f t="shared" si="6"/>
        <v>0</v>
      </c>
      <c r="Q59">
        <f t="shared" si="3"/>
        <v>1</v>
      </c>
      <c r="R59">
        <f t="shared" si="4"/>
        <v>0</v>
      </c>
      <c r="S59">
        <v>3.1</v>
      </c>
      <c r="T59">
        <v>0</v>
      </c>
      <c r="U59">
        <v>0</v>
      </c>
      <c r="V59" s="5">
        <v>0</v>
      </c>
    </row>
    <row r="60" spans="1:22" x14ac:dyDescent="0.2">
      <c r="A60" t="s">
        <v>7</v>
      </c>
      <c r="B60" t="s">
        <v>27</v>
      </c>
      <c r="C60">
        <v>128</v>
      </c>
      <c r="D60">
        <v>120</v>
      </c>
      <c r="E60" s="1">
        <v>0.25700000000000001</v>
      </c>
      <c r="F60">
        <v>12</v>
      </c>
      <c r="G60" s="2">
        <v>23100000</v>
      </c>
      <c r="H60" s="7">
        <f t="shared" si="1"/>
        <v>22</v>
      </c>
      <c r="I60" t="s">
        <v>47</v>
      </c>
      <c r="J60">
        <f t="shared" si="7"/>
        <v>0</v>
      </c>
      <c r="K60">
        <f t="shared" si="6"/>
        <v>1</v>
      </c>
      <c r="L60">
        <f t="shared" si="6"/>
        <v>0</v>
      </c>
      <c r="M60">
        <f t="shared" si="6"/>
        <v>0</v>
      </c>
      <c r="N60">
        <f t="shared" si="6"/>
        <v>0</v>
      </c>
      <c r="O60">
        <f t="shared" si="6"/>
        <v>0</v>
      </c>
      <c r="P60">
        <f t="shared" si="6"/>
        <v>0</v>
      </c>
      <c r="Q60">
        <f t="shared" si="3"/>
        <v>0</v>
      </c>
      <c r="R60">
        <f t="shared" si="4"/>
        <v>0</v>
      </c>
      <c r="S60">
        <v>3.4</v>
      </c>
      <c r="T60">
        <v>0</v>
      </c>
      <c r="U60">
        <v>0</v>
      </c>
      <c r="V60" s="5">
        <v>0</v>
      </c>
    </row>
    <row r="61" spans="1:22" x14ac:dyDescent="0.2">
      <c r="A61" t="s">
        <v>167</v>
      </c>
      <c r="B61" t="s">
        <v>40</v>
      </c>
      <c r="C61">
        <v>145</v>
      </c>
      <c r="D61">
        <v>136</v>
      </c>
      <c r="E61" s="1">
        <v>0.251</v>
      </c>
      <c r="F61">
        <v>26</v>
      </c>
      <c r="G61" s="2">
        <v>760000</v>
      </c>
      <c r="H61" s="7">
        <f t="shared" si="1"/>
        <v>98</v>
      </c>
      <c r="I61" t="s">
        <v>186</v>
      </c>
      <c r="J61">
        <f t="shared" si="7"/>
        <v>1</v>
      </c>
      <c r="K61">
        <f t="shared" si="6"/>
        <v>0</v>
      </c>
      <c r="L61">
        <f t="shared" si="6"/>
        <v>0</v>
      </c>
      <c r="M61">
        <f t="shared" si="6"/>
        <v>0</v>
      </c>
      <c r="N61">
        <f t="shared" si="6"/>
        <v>0</v>
      </c>
      <c r="O61">
        <f t="shared" si="6"/>
        <v>0</v>
      </c>
      <c r="P61">
        <f t="shared" si="6"/>
        <v>0</v>
      </c>
      <c r="Q61">
        <f t="shared" si="3"/>
        <v>0</v>
      </c>
      <c r="R61">
        <f t="shared" si="4"/>
        <v>0</v>
      </c>
      <c r="S61">
        <v>2.2999999999999998</v>
      </c>
      <c r="T61">
        <v>0</v>
      </c>
      <c r="U61">
        <v>0</v>
      </c>
      <c r="V61" s="5">
        <v>0</v>
      </c>
    </row>
    <row r="62" spans="1:22" x14ac:dyDescent="0.2">
      <c r="A62" t="s">
        <v>91</v>
      </c>
      <c r="B62" t="s">
        <v>89</v>
      </c>
      <c r="C62">
        <v>147</v>
      </c>
      <c r="D62">
        <v>145</v>
      </c>
      <c r="E62" s="1">
        <v>0.26300000000000001</v>
      </c>
      <c r="F62">
        <v>13</v>
      </c>
      <c r="G62" s="2">
        <v>11500000</v>
      </c>
      <c r="H62" s="7">
        <f t="shared" si="1"/>
        <v>56</v>
      </c>
      <c r="I62" t="s">
        <v>100</v>
      </c>
      <c r="J62">
        <f t="shared" si="7"/>
        <v>0</v>
      </c>
      <c r="K62">
        <f t="shared" si="6"/>
        <v>0</v>
      </c>
      <c r="L62">
        <f t="shared" si="6"/>
        <v>0</v>
      </c>
      <c r="M62">
        <f t="shared" si="6"/>
        <v>1</v>
      </c>
      <c r="N62">
        <f t="shared" si="6"/>
        <v>0</v>
      </c>
      <c r="O62">
        <f t="shared" si="6"/>
        <v>0</v>
      </c>
      <c r="P62">
        <f t="shared" si="6"/>
        <v>0</v>
      </c>
      <c r="Q62">
        <f t="shared" si="3"/>
        <v>1</v>
      </c>
      <c r="R62">
        <f t="shared" si="4"/>
        <v>0</v>
      </c>
      <c r="S62">
        <v>2.8</v>
      </c>
      <c r="T62">
        <v>0</v>
      </c>
      <c r="U62">
        <v>0</v>
      </c>
      <c r="V62" s="5">
        <v>0</v>
      </c>
    </row>
    <row r="63" spans="1:22" x14ac:dyDescent="0.2">
      <c r="A63" t="s">
        <v>171</v>
      </c>
      <c r="B63" t="s">
        <v>41</v>
      </c>
      <c r="C63">
        <v>140</v>
      </c>
      <c r="D63">
        <v>138</v>
      </c>
      <c r="E63" s="1">
        <v>0.26200000000000001</v>
      </c>
      <c r="F63">
        <v>18</v>
      </c>
      <c r="G63" s="2">
        <v>760000</v>
      </c>
      <c r="H63" s="7">
        <f t="shared" si="1"/>
        <v>98</v>
      </c>
      <c r="I63" t="s">
        <v>186</v>
      </c>
      <c r="J63">
        <f t="shared" si="7"/>
        <v>1</v>
      </c>
      <c r="K63">
        <f t="shared" si="6"/>
        <v>0</v>
      </c>
      <c r="L63">
        <f t="shared" si="6"/>
        <v>0</v>
      </c>
      <c r="M63">
        <f t="shared" si="6"/>
        <v>0</v>
      </c>
      <c r="N63">
        <f t="shared" si="6"/>
        <v>0</v>
      </c>
      <c r="O63">
        <f t="shared" si="6"/>
        <v>0</v>
      </c>
      <c r="P63">
        <f t="shared" si="6"/>
        <v>0</v>
      </c>
      <c r="Q63">
        <f t="shared" si="3"/>
        <v>0</v>
      </c>
      <c r="R63">
        <f t="shared" si="4"/>
        <v>0</v>
      </c>
      <c r="S63">
        <v>2.1</v>
      </c>
      <c r="T63">
        <v>0</v>
      </c>
      <c r="U63">
        <v>0</v>
      </c>
      <c r="V63" s="5">
        <v>0</v>
      </c>
    </row>
    <row r="64" spans="1:22" x14ac:dyDescent="0.2">
      <c r="A64" t="s">
        <v>185</v>
      </c>
      <c r="B64" t="s">
        <v>28</v>
      </c>
      <c r="C64">
        <v>120</v>
      </c>
      <c r="D64">
        <v>114</v>
      </c>
      <c r="E64" s="1">
        <v>0.255</v>
      </c>
      <c r="F64">
        <v>11</v>
      </c>
      <c r="G64" s="2">
        <v>9000000</v>
      </c>
      <c r="H64" s="7">
        <f t="shared" si="1"/>
        <v>67</v>
      </c>
      <c r="I64" t="s">
        <v>186</v>
      </c>
      <c r="J64">
        <f t="shared" si="7"/>
        <v>1</v>
      </c>
      <c r="K64">
        <f t="shared" si="6"/>
        <v>0</v>
      </c>
      <c r="L64">
        <f t="shared" si="6"/>
        <v>0</v>
      </c>
      <c r="M64">
        <f t="shared" si="6"/>
        <v>0</v>
      </c>
      <c r="N64">
        <f t="shared" si="6"/>
        <v>0</v>
      </c>
      <c r="O64">
        <f t="shared" si="6"/>
        <v>0</v>
      </c>
      <c r="P64">
        <f t="shared" si="6"/>
        <v>0</v>
      </c>
      <c r="Q64">
        <f t="shared" si="3"/>
        <v>0</v>
      </c>
      <c r="R64">
        <f t="shared" si="4"/>
        <v>0</v>
      </c>
      <c r="S64">
        <v>1.1000000000000001</v>
      </c>
      <c r="T64">
        <v>0</v>
      </c>
      <c r="U64">
        <v>0</v>
      </c>
      <c r="V64" s="5">
        <v>0</v>
      </c>
    </row>
    <row r="65" spans="1:22" x14ac:dyDescent="0.2">
      <c r="A65" t="s">
        <v>90</v>
      </c>
      <c r="B65" t="s">
        <v>43</v>
      </c>
      <c r="C65">
        <v>140</v>
      </c>
      <c r="D65">
        <v>142</v>
      </c>
      <c r="E65" s="1">
        <v>0.26700000000000002</v>
      </c>
      <c r="F65">
        <v>11</v>
      </c>
      <c r="G65" s="2">
        <v>12500000</v>
      </c>
      <c r="H65" s="7">
        <f t="shared" si="1"/>
        <v>49</v>
      </c>
      <c r="I65" t="s">
        <v>100</v>
      </c>
      <c r="J65">
        <f t="shared" si="7"/>
        <v>0</v>
      </c>
      <c r="K65">
        <f t="shared" si="6"/>
        <v>0</v>
      </c>
      <c r="L65">
        <f t="shared" si="6"/>
        <v>0</v>
      </c>
      <c r="M65">
        <f t="shared" si="6"/>
        <v>1</v>
      </c>
      <c r="N65">
        <f t="shared" si="6"/>
        <v>0</v>
      </c>
      <c r="O65">
        <f t="shared" si="6"/>
        <v>0</v>
      </c>
      <c r="P65">
        <f t="shared" si="6"/>
        <v>0</v>
      </c>
      <c r="Q65">
        <f t="shared" si="3"/>
        <v>1</v>
      </c>
      <c r="R65">
        <f t="shared" si="4"/>
        <v>0</v>
      </c>
      <c r="S65">
        <v>2.7</v>
      </c>
      <c r="T65">
        <v>0</v>
      </c>
      <c r="U65">
        <v>0</v>
      </c>
      <c r="V65" s="5">
        <v>0</v>
      </c>
    </row>
    <row r="66" spans="1:22" x14ac:dyDescent="0.2">
      <c r="A66" t="s">
        <v>111</v>
      </c>
      <c r="B66" t="s">
        <v>36</v>
      </c>
      <c r="C66">
        <v>153</v>
      </c>
      <c r="D66">
        <v>160</v>
      </c>
      <c r="E66" s="1">
        <v>0.26800000000000002</v>
      </c>
      <c r="F66">
        <v>19</v>
      </c>
      <c r="G66" s="2">
        <v>760000</v>
      </c>
      <c r="H66" s="7">
        <f t="shared" si="1"/>
        <v>98</v>
      </c>
      <c r="I66" t="s">
        <v>121</v>
      </c>
      <c r="J66">
        <f t="shared" si="7"/>
        <v>0</v>
      </c>
      <c r="K66">
        <f t="shared" si="6"/>
        <v>0</v>
      </c>
      <c r="L66">
        <f t="shared" si="6"/>
        <v>0</v>
      </c>
      <c r="M66">
        <f t="shared" si="6"/>
        <v>0</v>
      </c>
      <c r="N66">
        <f t="shared" si="6"/>
        <v>0</v>
      </c>
      <c r="O66">
        <f t="shared" si="6"/>
        <v>1</v>
      </c>
      <c r="P66">
        <f t="shared" si="6"/>
        <v>0</v>
      </c>
      <c r="Q66">
        <f t="shared" si="3"/>
        <v>1</v>
      </c>
      <c r="R66">
        <f t="shared" si="4"/>
        <v>0</v>
      </c>
      <c r="S66">
        <v>3.5</v>
      </c>
      <c r="T66">
        <v>0</v>
      </c>
      <c r="U66">
        <v>0</v>
      </c>
      <c r="V66" s="5">
        <v>0</v>
      </c>
    </row>
    <row r="67" spans="1:22" x14ac:dyDescent="0.2">
      <c r="A67" t="s">
        <v>139</v>
      </c>
      <c r="B67" t="s">
        <v>30</v>
      </c>
      <c r="C67">
        <v>128</v>
      </c>
      <c r="D67">
        <v>122</v>
      </c>
      <c r="E67" s="1">
        <v>0.255</v>
      </c>
      <c r="F67">
        <v>18</v>
      </c>
      <c r="G67" s="2">
        <v>8000000</v>
      </c>
      <c r="H67" s="7">
        <f t="shared" ref="H67:H130" si="8">_xlfn.RANK.EQ(G67,$G$2:$G$141,0)</f>
        <v>73</v>
      </c>
      <c r="I67" t="s">
        <v>141</v>
      </c>
      <c r="J67">
        <f t="shared" si="7"/>
        <v>0</v>
      </c>
      <c r="K67">
        <f t="shared" si="6"/>
        <v>0</v>
      </c>
      <c r="L67">
        <f t="shared" si="6"/>
        <v>0</v>
      </c>
      <c r="M67">
        <f t="shared" si="6"/>
        <v>0</v>
      </c>
      <c r="N67">
        <f t="shared" si="6"/>
        <v>0</v>
      </c>
      <c r="O67">
        <f t="shared" si="6"/>
        <v>0</v>
      </c>
      <c r="P67">
        <f t="shared" si="6"/>
        <v>1</v>
      </c>
      <c r="Q67">
        <f t="shared" ref="Q67:Q130" si="9">IF(OR(I67=O$1,I67=M$1),1,0)</f>
        <v>0</v>
      </c>
      <c r="R67">
        <f t="shared" ref="R67:R130" si="10">IF(OR(I67=N$1,I67=L$1),1,0)</f>
        <v>0</v>
      </c>
      <c r="S67">
        <v>1.3</v>
      </c>
      <c r="T67">
        <v>0</v>
      </c>
      <c r="U67">
        <v>0</v>
      </c>
      <c r="V67" s="5">
        <v>0</v>
      </c>
    </row>
    <row r="68" spans="1:22" x14ac:dyDescent="0.2">
      <c r="A68" t="s">
        <v>164</v>
      </c>
      <c r="B68" t="s">
        <v>165</v>
      </c>
      <c r="C68">
        <v>138</v>
      </c>
      <c r="D68">
        <v>122</v>
      </c>
      <c r="E68" s="1">
        <v>0.23499999999999999</v>
      </c>
      <c r="F68">
        <v>28</v>
      </c>
      <c r="G68" s="2">
        <v>11000000</v>
      </c>
      <c r="H68" s="7">
        <f t="shared" si="8"/>
        <v>61</v>
      </c>
      <c r="I68" t="s">
        <v>186</v>
      </c>
      <c r="J68">
        <f t="shared" si="7"/>
        <v>1</v>
      </c>
      <c r="K68">
        <f t="shared" si="6"/>
        <v>0</v>
      </c>
      <c r="L68">
        <f t="shared" si="6"/>
        <v>0</v>
      </c>
      <c r="M68">
        <f t="shared" si="6"/>
        <v>0</v>
      </c>
      <c r="N68">
        <f t="shared" si="6"/>
        <v>0</v>
      </c>
      <c r="O68">
        <f t="shared" si="6"/>
        <v>0</v>
      </c>
      <c r="P68">
        <f t="shared" si="6"/>
        <v>0</v>
      </c>
      <c r="Q68">
        <f t="shared" si="9"/>
        <v>0</v>
      </c>
      <c r="R68">
        <f t="shared" si="10"/>
        <v>0</v>
      </c>
      <c r="S68">
        <v>2</v>
      </c>
      <c r="T68">
        <v>0</v>
      </c>
      <c r="U68">
        <v>0</v>
      </c>
      <c r="V68" s="5">
        <v>0</v>
      </c>
    </row>
    <row r="69" spans="1:22" x14ac:dyDescent="0.2">
      <c r="A69" t="s">
        <v>131</v>
      </c>
      <c r="B69" t="s">
        <v>35</v>
      </c>
      <c r="C69">
        <v>145</v>
      </c>
      <c r="D69">
        <v>150</v>
      </c>
      <c r="E69" s="1">
        <v>0.27</v>
      </c>
      <c r="F69">
        <v>20</v>
      </c>
      <c r="G69" s="2">
        <v>760000</v>
      </c>
      <c r="H69" s="7">
        <f t="shared" si="8"/>
        <v>98</v>
      </c>
      <c r="I69" t="s">
        <v>141</v>
      </c>
      <c r="J69">
        <f t="shared" si="7"/>
        <v>0</v>
      </c>
      <c r="K69">
        <f t="shared" si="6"/>
        <v>0</v>
      </c>
      <c r="L69">
        <f t="shared" si="6"/>
        <v>0</v>
      </c>
      <c r="M69">
        <f t="shared" si="6"/>
        <v>0</v>
      </c>
      <c r="N69">
        <f t="shared" si="6"/>
        <v>0</v>
      </c>
      <c r="O69">
        <f t="shared" si="6"/>
        <v>0</v>
      </c>
      <c r="P69">
        <f t="shared" si="6"/>
        <v>1</v>
      </c>
      <c r="Q69">
        <f t="shared" si="9"/>
        <v>0</v>
      </c>
      <c r="R69">
        <f t="shared" si="10"/>
        <v>0</v>
      </c>
      <c r="S69">
        <v>1.4</v>
      </c>
      <c r="T69">
        <v>0</v>
      </c>
      <c r="U69">
        <v>0</v>
      </c>
      <c r="V69" s="5">
        <v>0</v>
      </c>
    </row>
    <row r="70" spans="1:22" x14ac:dyDescent="0.2">
      <c r="A70" t="s">
        <v>14</v>
      </c>
      <c r="B70" t="s">
        <v>34</v>
      </c>
      <c r="C70">
        <v>135</v>
      </c>
      <c r="D70">
        <v>110</v>
      </c>
      <c r="E70" s="1">
        <v>0.21299999999999999</v>
      </c>
      <c r="F70">
        <v>11</v>
      </c>
      <c r="G70" s="2">
        <v>760000</v>
      </c>
      <c r="H70" s="7">
        <f t="shared" si="8"/>
        <v>98</v>
      </c>
      <c r="I70" t="s">
        <v>47</v>
      </c>
      <c r="J70">
        <f t="shared" si="7"/>
        <v>0</v>
      </c>
      <c r="K70">
        <f t="shared" si="6"/>
        <v>1</v>
      </c>
      <c r="L70">
        <f t="shared" si="6"/>
        <v>0</v>
      </c>
      <c r="M70">
        <f t="shared" si="6"/>
        <v>0</v>
      </c>
      <c r="N70">
        <f t="shared" si="6"/>
        <v>0</v>
      </c>
      <c r="O70">
        <f t="shared" si="6"/>
        <v>0</v>
      </c>
      <c r="P70">
        <f t="shared" si="6"/>
        <v>0</v>
      </c>
      <c r="Q70">
        <f t="shared" si="9"/>
        <v>0</v>
      </c>
      <c r="R70">
        <f t="shared" si="10"/>
        <v>0</v>
      </c>
      <c r="S70">
        <v>2.5</v>
      </c>
      <c r="T70">
        <v>0</v>
      </c>
      <c r="U70">
        <v>0</v>
      </c>
      <c r="V70" s="5">
        <v>0</v>
      </c>
    </row>
    <row r="71" spans="1:22" x14ac:dyDescent="0.2">
      <c r="A71" t="s">
        <v>84</v>
      </c>
      <c r="B71" t="s">
        <v>42</v>
      </c>
      <c r="C71">
        <v>142</v>
      </c>
      <c r="D71">
        <v>138</v>
      </c>
      <c r="E71" s="1">
        <v>0.26</v>
      </c>
      <c r="F71">
        <v>18</v>
      </c>
      <c r="G71" s="2">
        <v>760000</v>
      </c>
      <c r="H71" s="7">
        <f t="shared" si="8"/>
        <v>98</v>
      </c>
      <c r="I71" t="s">
        <v>100</v>
      </c>
      <c r="J71">
        <f t="shared" si="7"/>
        <v>0</v>
      </c>
      <c r="K71">
        <f t="shared" si="6"/>
        <v>0</v>
      </c>
      <c r="L71">
        <f t="shared" si="6"/>
        <v>0</v>
      </c>
      <c r="M71">
        <f t="shared" si="6"/>
        <v>1</v>
      </c>
      <c r="N71">
        <f t="shared" si="6"/>
        <v>0</v>
      </c>
      <c r="O71">
        <f t="shared" si="6"/>
        <v>0</v>
      </c>
      <c r="P71">
        <f t="shared" si="6"/>
        <v>0</v>
      </c>
      <c r="Q71">
        <f t="shared" si="9"/>
        <v>1</v>
      </c>
      <c r="R71">
        <f t="shared" si="10"/>
        <v>0</v>
      </c>
      <c r="S71">
        <v>2.1</v>
      </c>
      <c r="T71">
        <v>0</v>
      </c>
      <c r="U71">
        <v>0</v>
      </c>
      <c r="V71" s="5">
        <v>0</v>
      </c>
    </row>
    <row r="72" spans="1:22" x14ac:dyDescent="0.2">
      <c r="A72" t="s">
        <v>75</v>
      </c>
      <c r="B72" t="s">
        <v>36</v>
      </c>
      <c r="C72">
        <v>120</v>
      </c>
      <c r="D72">
        <v>108</v>
      </c>
      <c r="E72" s="1">
        <v>0.24</v>
      </c>
      <c r="F72">
        <v>18</v>
      </c>
      <c r="G72" s="2">
        <v>19000000</v>
      </c>
      <c r="H72" s="7">
        <f t="shared" si="8"/>
        <v>34</v>
      </c>
      <c r="I72" t="s">
        <v>76</v>
      </c>
      <c r="J72">
        <f t="shared" si="7"/>
        <v>0</v>
      </c>
      <c r="K72">
        <f t="shared" si="6"/>
        <v>0</v>
      </c>
      <c r="L72">
        <f t="shared" si="6"/>
        <v>1</v>
      </c>
      <c r="M72">
        <f t="shared" si="6"/>
        <v>0</v>
      </c>
      <c r="N72">
        <f t="shared" si="6"/>
        <v>0</v>
      </c>
      <c r="O72">
        <f t="shared" si="6"/>
        <v>0</v>
      </c>
      <c r="P72">
        <f t="shared" si="6"/>
        <v>0</v>
      </c>
      <c r="Q72">
        <f t="shared" si="9"/>
        <v>0</v>
      </c>
      <c r="R72">
        <f t="shared" si="10"/>
        <v>1</v>
      </c>
      <c r="S72">
        <v>0.9</v>
      </c>
      <c r="T72">
        <v>0</v>
      </c>
      <c r="U72">
        <v>0</v>
      </c>
      <c r="V72" s="5">
        <v>0</v>
      </c>
    </row>
    <row r="73" spans="1:22" x14ac:dyDescent="0.2">
      <c r="A73" t="s">
        <v>77</v>
      </c>
      <c r="B73" t="s">
        <v>36</v>
      </c>
      <c r="C73">
        <v>145</v>
      </c>
      <c r="D73">
        <v>165</v>
      </c>
      <c r="E73" s="1">
        <v>0.29199999999999998</v>
      </c>
      <c r="F73">
        <v>22</v>
      </c>
      <c r="G73" s="2">
        <v>29000000</v>
      </c>
      <c r="H73" s="7">
        <f t="shared" si="8"/>
        <v>12</v>
      </c>
      <c r="I73" t="s">
        <v>187</v>
      </c>
      <c r="J73">
        <f t="shared" si="7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1</v>
      </c>
      <c r="O73">
        <f t="shared" si="6"/>
        <v>0</v>
      </c>
      <c r="P73">
        <f t="shared" si="6"/>
        <v>0</v>
      </c>
      <c r="Q73">
        <f t="shared" si="9"/>
        <v>0</v>
      </c>
      <c r="R73">
        <f t="shared" si="10"/>
        <v>1</v>
      </c>
      <c r="S73">
        <v>4.7</v>
      </c>
      <c r="T73">
        <v>0</v>
      </c>
      <c r="U73">
        <v>0</v>
      </c>
      <c r="V73" s="5">
        <v>0</v>
      </c>
    </row>
    <row r="74" spans="1:22" x14ac:dyDescent="0.2">
      <c r="A74" t="s">
        <v>59</v>
      </c>
      <c r="B74" t="s">
        <v>60</v>
      </c>
      <c r="C74">
        <v>140</v>
      </c>
      <c r="D74">
        <v>134</v>
      </c>
      <c r="E74" s="1">
        <v>0.255</v>
      </c>
      <c r="F74">
        <v>22</v>
      </c>
      <c r="G74" s="2">
        <v>16500000</v>
      </c>
      <c r="H74" s="7">
        <f t="shared" si="8"/>
        <v>38</v>
      </c>
      <c r="I74" t="s">
        <v>76</v>
      </c>
      <c r="J74">
        <f t="shared" si="7"/>
        <v>0</v>
      </c>
      <c r="K74">
        <f t="shared" si="6"/>
        <v>0</v>
      </c>
      <c r="L74">
        <f t="shared" si="6"/>
        <v>1</v>
      </c>
      <c r="M74">
        <f t="shared" si="6"/>
        <v>0</v>
      </c>
      <c r="N74">
        <f t="shared" si="6"/>
        <v>0</v>
      </c>
      <c r="O74">
        <f t="shared" si="6"/>
        <v>0</v>
      </c>
      <c r="P74">
        <f t="shared" si="6"/>
        <v>0</v>
      </c>
      <c r="Q74">
        <f t="shared" si="9"/>
        <v>0</v>
      </c>
      <c r="R74">
        <f t="shared" si="10"/>
        <v>1</v>
      </c>
      <c r="S74">
        <v>1.8</v>
      </c>
      <c r="T74">
        <v>0</v>
      </c>
      <c r="U74">
        <v>0</v>
      </c>
      <c r="V74" s="5">
        <v>0</v>
      </c>
    </row>
    <row r="75" spans="1:22" x14ac:dyDescent="0.2">
      <c r="A75" t="s">
        <v>133</v>
      </c>
      <c r="B75" t="s">
        <v>38</v>
      </c>
      <c r="C75">
        <v>146</v>
      </c>
      <c r="D75">
        <v>155</v>
      </c>
      <c r="E75" s="1">
        <v>0.28399999999999997</v>
      </c>
      <c r="F75">
        <v>26</v>
      </c>
      <c r="G75" s="2">
        <v>760000</v>
      </c>
      <c r="H75" s="7">
        <f t="shared" si="8"/>
        <v>98</v>
      </c>
      <c r="I75" t="s">
        <v>141</v>
      </c>
      <c r="J75">
        <f t="shared" si="7"/>
        <v>0</v>
      </c>
      <c r="K75">
        <f t="shared" si="6"/>
        <v>0</v>
      </c>
      <c r="L75">
        <f t="shared" si="6"/>
        <v>0</v>
      </c>
      <c r="M75">
        <f t="shared" si="6"/>
        <v>0</v>
      </c>
      <c r="N75">
        <f t="shared" si="6"/>
        <v>0</v>
      </c>
      <c r="O75">
        <f t="shared" si="6"/>
        <v>0</v>
      </c>
      <c r="P75">
        <f t="shared" si="6"/>
        <v>1</v>
      </c>
      <c r="Q75">
        <f t="shared" si="9"/>
        <v>0</v>
      </c>
      <c r="R75">
        <f t="shared" si="10"/>
        <v>0</v>
      </c>
      <c r="S75">
        <v>2.9</v>
      </c>
      <c r="T75">
        <v>1</v>
      </c>
      <c r="U75">
        <v>0</v>
      </c>
      <c r="V75" s="5">
        <v>0</v>
      </c>
    </row>
    <row r="76" spans="1:22" x14ac:dyDescent="0.2">
      <c r="A76" t="s">
        <v>143</v>
      </c>
      <c r="B76" t="s">
        <v>65</v>
      </c>
      <c r="C76">
        <v>158</v>
      </c>
      <c r="D76">
        <v>178</v>
      </c>
      <c r="E76" s="1">
        <v>0.307</v>
      </c>
      <c r="F76">
        <v>39</v>
      </c>
      <c r="G76" s="2">
        <v>31000000</v>
      </c>
      <c r="H76" s="7">
        <f t="shared" si="8"/>
        <v>9</v>
      </c>
      <c r="I76" t="s">
        <v>186</v>
      </c>
      <c r="J76">
        <f t="shared" si="7"/>
        <v>1</v>
      </c>
      <c r="K76">
        <f t="shared" si="6"/>
        <v>0</v>
      </c>
      <c r="L76">
        <f t="shared" si="6"/>
        <v>0</v>
      </c>
      <c r="M76">
        <f t="shared" si="6"/>
        <v>0</v>
      </c>
      <c r="N76">
        <f t="shared" si="6"/>
        <v>0</v>
      </c>
      <c r="O76">
        <f t="shared" si="6"/>
        <v>0</v>
      </c>
      <c r="P76">
        <f t="shared" si="6"/>
        <v>0</v>
      </c>
      <c r="Q76">
        <f t="shared" si="9"/>
        <v>0</v>
      </c>
      <c r="R76">
        <f t="shared" si="10"/>
        <v>0</v>
      </c>
      <c r="S76">
        <v>7.4</v>
      </c>
      <c r="T76">
        <v>0</v>
      </c>
      <c r="U76">
        <v>0</v>
      </c>
      <c r="V76" s="5">
        <v>1</v>
      </c>
    </row>
    <row r="77" spans="1:22" x14ac:dyDescent="0.2">
      <c r="A77" t="s">
        <v>149</v>
      </c>
      <c r="B77" t="s">
        <v>30</v>
      </c>
      <c r="C77">
        <v>157</v>
      </c>
      <c r="D77">
        <v>172</v>
      </c>
      <c r="E77" s="1">
        <v>0.29099999999999998</v>
      </c>
      <c r="F77">
        <v>32</v>
      </c>
      <c r="G77" s="2">
        <v>12000000</v>
      </c>
      <c r="H77" s="7">
        <f t="shared" si="8"/>
        <v>50</v>
      </c>
      <c r="I77" t="s">
        <v>186</v>
      </c>
      <c r="J77">
        <f t="shared" si="7"/>
        <v>1</v>
      </c>
      <c r="K77">
        <f t="shared" si="6"/>
        <v>0</v>
      </c>
      <c r="L77">
        <f t="shared" si="6"/>
        <v>0</v>
      </c>
      <c r="M77">
        <f t="shared" si="6"/>
        <v>0</v>
      </c>
      <c r="N77">
        <f t="shared" si="6"/>
        <v>0</v>
      </c>
      <c r="O77">
        <f t="shared" si="6"/>
        <v>0</v>
      </c>
      <c r="P77">
        <f t="shared" si="6"/>
        <v>0</v>
      </c>
      <c r="Q77">
        <f t="shared" si="9"/>
        <v>0</v>
      </c>
      <c r="R77">
        <f t="shared" si="10"/>
        <v>0</v>
      </c>
      <c r="S77">
        <v>6.8</v>
      </c>
      <c r="T77">
        <v>0</v>
      </c>
      <c r="U77">
        <v>0</v>
      </c>
      <c r="V77" s="5">
        <v>1</v>
      </c>
    </row>
    <row r="78" spans="1:22" x14ac:dyDescent="0.2">
      <c r="A78" t="s">
        <v>130</v>
      </c>
      <c r="B78" t="s">
        <v>37</v>
      </c>
      <c r="C78">
        <v>132</v>
      </c>
      <c r="D78">
        <v>128</v>
      </c>
      <c r="E78" s="1">
        <v>0.26</v>
      </c>
      <c r="F78">
        <v>18</v>
      </c>
      <c r="G78" s="2">
        <v>13000000</v>
      </c>
      <c r="H78" s="7">
        <f t="shared" si="8"/>
        <v>45</v>
      </c>
      <c r="I78" t="s">
        <v>141</v>
      </c>
      <c r="J78">
        <f t="shared" si="7"/>
        <v>0</v>
      </c>
      <c r="K78">
        <f t="shared" si="6"/>
        <v>0</v>
      </c>
      <c r="L78">
        <f t="shared" si="6"/>
        <v>0</v>
      </c>
      <c r="M78">
        <f t="shared" si="6"/>
        <v>0</v>
      </c>
      <c r="N78">
        <f t="shared" si="6"/>
        <v>0</v>
      </c>
      <c r="O78">
        <f t="shared" si="6"/>
        <v>0</v>
      </c>
      <c r="P78">
        <f t="shared" si="6"/>
        <v>1</v>
      </c>
      <c r="Q78">
        <f t="shared" si="9"/>
        <v>0</v>
      </c>
      <c r="R78">
        <f t="shared" si="10"/>
        <v>0</v>
      </c>
      <c r="S78">
        <v>1.7</v>
      </c>
      <c r="T78">
        <v>0</v>
      </c>
      <c r="U78">
        <v>0</v>
      </c>
      <c r="V78" s="5">
        <v>0</v>
      </c>
    </row>
    <row r="79" spans="1:22" x14ac:dyDescent="0.2">
      <c r="A79" t="s">
        <v>15</v>
      </c>
      <c r="B79" t="s">
        <v>35</v>
      </c>
      <c r="C79">
        <v>141</v>
      </c>
      <c r="D79">
        <v>125</v>
      </c>
      <c r="E79" s="1">
        <v>0.247</v>
      </c>
      <c r="F79">
        <v>2</v>
      </c>
      <c r="G79" s="2">
        <v>6000000</v>
      </c>
      <c r="H79" s="7">
        <f t="shared" si="8"/>
        <v>79</v>
      </c>
      <c r="I79" t="s">
        <v>47</v>
      </c>
      <c r="J79">
        <f t="shared" si="7"/>
        <v>0</v>
      </c>
      <c r="K79">
        <f t="shared" si="6"/>
        <v>1</v>
      </c>
      <c r="L79">
        <f t="shared" si="6"/>
        <v>0</v>
      </c>
      <c r="M79">
        <f t="shared" si="6"/>
        <v>0</v>
      </c>
      <c r="N79">
        <f t="shared" si="6"/>
        <v>0</v>
      </c>
      <c r="O79">
        <f t="shared" si="6"/>
        <v>0</v>
      </c>
      <c r="P79">
        <f t="shared" si="6"/>
        <v>0</v>
      </c>
      <c r="Q79">
        <f t="shared" si="9"/>
        <v>0</v>
      </c>
      <c r="R79">
        <f t="shared" si="10"/>
        <v>0</v>
      </c>
      <c r="S79">
        <v>1.2</v>
      </c>
      <c r="T79">
        <v>0</v>
      </c>
      <c r="U79">
        <v>0</v>
      </c>
      <c r="V79" s="5">
        <v>0</v>
      </c>
    </row>
    <row r="80" spans="1:22" x14ac:dyDescent="0.2">
      <c r="A80" t="s">
        <v>81</v>
      </c>
      <c r="B80" t="s">
        <v>33</v>
      </c>
      <c r="C80">
        <v>154</v>
      </c>
      <c r="D80">
        <v>168</v>
      </c>
      <c r="E80" s="1">
        <v>0.28299999999999997</v>
      </c>
      <c r="F80">
        <v>26</v>
      </c>
      <c r="G80" s="2">
        <v>11000000</v>
      </c>
      <c r="H80" s="7">
        <f t="shared" si="8"/>
        <v>61</v>
      </c>
      <c r="I80" t="s">
        <v>100</v>
      </c>
      <c r="J80">
        <f t="shared" si="7"/>
        <v>0</v>
      </c>
      <c r="K80">
        <f t="shared" si="6"/>
        <v>0</v>
      </c>
      <c r="L80">
        <f t="shared" si="6"/>
        <v>0</v>
      </c>
      <c r="M80">
        <f t="shared" si="6"/>
        <v>1</v>
      </c>
      <c r="N80">
        <f t="shared" si="6"/>
        <v>0</v>
      </c>
      <c r="O80">
        <f t="shared" si="6"/>
        <v>0</v>
      </c>
      <c r="P80">
        <f t="shared" si="6"/>
        <v>0</v>
      </c>
      <c r="Q80">
        <f t="shared" si="9"/>
        <v>1</v>
      </c>
      <c r="R80">
        <f t="shared" si="10"/>
        <v>0</v>
      </c>
      <c r="S80">
        <v>4.3</v>
      </c>
      <c r="T80">
        <v>0</v>
      </c>
      <c r="U80">
        <v>0</v>
      </c>
      <c r="V80" s="5">
        <v>0</v>
      </c>
    </row>
    <row r="81" spans="1:22" x14ac:dyDescent="0.2">
      <c r="A81" t="s">
        <v>170</v>
      </c>
      <c r="B81" t="s">
        <v>29</v>
      </c>
      <c r="C81">
        <v>142</v>
      </c>
      <c r="D81">
        <v>135</v>
      </c>
      <c r="E81" s="1">
        <v>0.25900000000000001</v>
      </c>
      <c r="F81">
        <v>14</v>
      </c>
      <c r="G81" s="2">
        <v>760000</v>
      </c>
      <c r="H81" s="7">
        <f t="shared" si="8"/>
        <v>98</v>
      </c>
      <c r="I81" t="s">
        <v>187</v>
      </c>
      <c r="J81">
        <f t="shared" si="7"/>
        <v>0</v>
      </c>
      <c r="K81">
        <f t="shared" si="6"/>
        <v>0</v>
      </c>
      <c r="L81">
        <f t="shared" si="6"/>
        <v>0</v>
      </c>
      <c r="M81">
        <f t="shared" si="6"/>
        <v>0</v>
      </c>
      <c r="N81">
        <f t="shared" si="6"/>
        <v>1</v>
      </c>
      <c r="O81">
        <f t="shared" si="6"/>
        <v>0</v>
      </c>
      <c r="P81">
        <f t="shared" si="6"/>
        <v>0</v>
      </c>
      <c r="Q81">
        <f t="shared" si="9"/>
        <v>0</v>
      </c>
      <c r="R81">
        <f t="shared" si="10"/>
        <v>1</v>
      </c>
      <c r="S81">
        <v>1.8</v>
      </c>
      <c r="T81">
        <v>0</v>
      </c>
      <c r="U81">
        <v>0</v>
      </c>
      <c r="V81" s="5">
        <v>0</v>
      </c>
    </row>
    <row r="82" spans="1:22" x14ac:dyDescent="0.2">
      <c r="A82" t="s">
        <v>123</v>
      </c>
      <c r="B82" t="s">
        <v>27</v>
      </c>
      <c r="C82">
        <v>154</v>
      </c>
      <c r="D82">
        <v>130</v>
      </c>
      <c r="E82" s="1">
        <v>0.23100000000000001</v>
      </c>
      <c r="F82">
        <v>56</v>
      </c>
      <c r="G82" s="2">
        <v>20000000</v>
      </c>
      <c r="H82" s="7">
        <f t="shared" si="8"/>
        <v>26</v>
      </c>
      <c r="I82" t="s">
        <v>186</v>
      </c>
      <c r="J82">
        <f t="shared" si="7"/>
        <v>1</v>
      </c>
      <c r="K82">
        <f t="shared" si="6"/>
        <v>0</v>
      </c>
      <c r="L82">
        <f t="shared" si="6"/>
        <v>0</v>
      </c>
      <c r="M82">
        <f t="shared" si="6"/>
        <v>0</v>
      </c>
      <c r="N82">
        <f t="shared" si="6"/>
        <v>0</v>
      </c>
      <c r="O82">
        <f t="shared" si="6"/>
        <v>0</v>
      </c>
      <c r="P82">
        <f t="shared" si="6"/>
        <v>0</v>
      </c>
      <c r="Q82">
        <f t="shared" si="9"/>
        <v>0</v>
      </c>
      <c r="R82">
        <f t="shared" si="10"/>
        <v>0</v>
      </c>
      <c r="S82">
        <v>3.6</v>
      </c>
      <c r="T82">
        <v>0</v>
      </c>
      <c r="U82">
        <v>0</v>
      </c>
      <c r="V82" s="5">
        <v>0</v>
      </c>
    </row>
    <row r="83" spans="1:22" x14ac:dyDescent="0.2">
      <c r="A83" t="s">
        <v>146</v>
      </c>
      <c r="B83" t="s">
        <v>36</v>
      </c>
      <c r="C83">
        <v>155</v>
      </c>
      <c r="D83">
        <v>166</v>
      </c>
      <c r="E83" s="1">
        <v>0.28599999999999998</v>
      </c>
      <c r="F83">
        <v>34</v>
      </c>
      <c r="G83" s="2">
        <v>12000000</v>
      </c>
      <c r="H83" s="7">
        <f t="shared" si="8"/>
        <v>50</v>
      </c>
      <c r="I83" t="s">
        <v>186</v>
      </c>
      <c r="J83">
        <f t="shared" si="7"/>
        <v>1</v>
      </c>
      <c r="K83">
        <f t="shared" si="6"/>
        <v>0</v>
      </c>
      <c r="L83">
        <f t="shared" si="6"/>
        <v>0</v>
      </c>
      <c r="M83">
        <f t="shared" si="6"/>
        <v>0</v>
      </c>
      <c r="N83">
        <f t="shared" si="6"/>
        <v>0</v>
      </c>
      <c r="O83">
        <f t="shared" si="6"/>
        <v>0</v>
      </c>
      <c r="P83">
        <f t="shared" si="6"/>
        <v>0</v>
      </c>
      <c r="Q83">
        <f t="shared" si="9"/>
        <v>0</v>
      </c>
      <c r="R83">
        <f t="shared" si="10"/>
        <v>0</v>
      </c>
      <c r="S83">
        <v>6.1</v>
      </c>
      <c r="T83">
        <v>0</v>
      </c>
      <c r="U83">
        <v>1</v>
      </c>
      <c r="V83" s="5">
        <v>1</v>
      </c>
    </row>
    <row r="84" spans="1:22" x14ac:dyDescent="0.2">
      <c r="A84" t="s">
        <v>177</v>
      </c>
      <c r="B84" t="s">
        <v>35</v>
      </c>
      <c r="C84">
        <v>146</v>
      </c>
      <c r="D84">
        <v>148</v>
      </c>
      <c r="E84" s="1">
        <v>0.26800000000000002</v>
      </c>
      <c r="F84">
        <v>24</v>
      </c>
      <c r="G84" s="2">
        <v>4900000</v>
      </c>
      <c r="H84" s="7">
        <f t="shared" si="8"/>
        <v>85</v>
      </c>
      <c r="I84" t="s">
        <v>186</v>
      </c>
      <c r="J84">
        <f t="shared" si="7"/>
        <v>1</v>
      </c>
      <c r="K84">
        <f t="shared" si="6"/>
        <v>0</v>
      </c>
      <c r="L84">
        <f t="shared" si="6"/>
        <v>0</v>
      </c>
      <c r="M84">
        <f t="shared" si="6"/>
        <v>0</v>
      </c>
      <c r="N84">
        <f t="shared" si="6"/>
        <v>0</v>
      </c>
      <c r="O84">
        <f t="shared" si="6"/>
        <v>0</v>
      </c>
      <c r="P84">
        <f t="shared" si="6"/>
        <v>0</v>
      </c>
      <c r="Q84">
        <f t="shared" si="9"/>
        <v>0</v>
      </c>
      <c r="R84">
        <f t="shared" si="10"/>
        <v>0</v>
      </c>
      <c r="S84">
        <v>2.8</v>
      </c>
      <c r="T84">
        <v>0</v>
      </c>
      <c r="U84">
        <v>0</v>
      </c>
      <c r="V84" s="5">
        <v>0</v>
      </c>
    </row>
    <row r="85" spans="1:22" x14ac:dyDescent="0.2">
      <c r="A85" t="s">
        <v>163</v>
      </c>
      <c r="B85" t="s">
        <v>33</v>
      </c>
      <c r="C85">
        <v>147</v>
      </c>
      <c r="D85">
        <v>150</v>
      </c>
      <c r="E85" s="1">
        <v>0.26600000000000001</v>
      </c>
      <c r="F85">
        <v>22</v>
      </c>
      <c r="G85" s="2">
        <v>12000000</v>
      </c>
      <c r="H85" s="7">
        <f t="shared" si="8"/>
        <v>50</v>
      </c>
      <c r="I85" t="s">
        <v>186</v>
      </c>
      <c r="J85">
        <f t="shared" si="7"/>
        <v>1</v>
      </c>
      <c r="K85">
        <f t="shared" si="6"/>
        <v>0</v>
      </c>
      <c r="L85">
        <f t="shared" si="6"/>
        <v>0</v>
      </c>
      <c r="M85">
        <f t="shared" si="6"/>
        <v>0</v>
      </c>
      <c r="N85">
        <f t="shared" si="6"/>
        <v>0</v>
      </c>
      <c r="O85">
        <f t="shared" si="6"/>
        <v>0</v>
      </c>
      <c r="P85">
        <f t="shared" si="6"/>
        <v>0</v>
      </c>
      <c r="Q85">
        <f t="shared" si="9"/>
        <v>0</v>
      </c>
      <c r="R85">
        <f t="shared" si="10"/>
        <v>0</v>
      </c>
      <c r="S85">
        <v>2.7</v>
      </c>
      <c r="T85">
        <v>0</v>
      </c>
      <c r="U85">
        <v>0</v>
      </c>
      <c r="V85" s="5">
        <v>0</v>
      </c>
    </row>
    <row r="86" spans="1:22" x14ac:dyDescent="0.2">
      <c r="A86" t="s">
        <v>88</v>
      </c>
      <c r="B86" t="s">
        <v>89</v>
      </c>
      <c r="C86">
        <v>153</v>
      </c>
      <c r="D86">
        <v>201</v>
      </c>
      <c r="E86" s="1">
        <v>0.32900000000000001</v>
      </c>
      <c r="F86">
        <v>8</v>
      </c>
      <c r="G86" s="2">
        <v>10000000</v>
      </c>
      <c r="H86" s="7">
        <f t="shared" si="8"/>
        <v>64</v>
      </c>
      <c r="I86" t="s">
        <v>100</v>
      </c>
      <c r="J86">
        <f t="shared" si="7"/>
        <v>0</v>
      </c>
      <c r="K86">
        <f t="shared" si="6"/>
        <v>0</v>
      </c>
      <c r="L86">
        <f t="shared" si="6"/>
        <v>0</v>
      </c>
      <c r="M86">
        <f t="shared" si="6"/>
        <v>1</v>
      </c>
      <c r="N86">
        <f t="shared" si="6"/>
        <v>0</v>
      </c>
      <c r="O86">
        <f t="shared" si="6"/>
        <v>0</v>
      </c>
      <c r="P86">
        <f t="shared" si="6"/>
        <v>0</v>
      </c>
      <c r="Q86">
        <f t="shared" si="9"/>
        <v>1</v>
      </c>
      <c r="R86">
        <f t="shared" si="10"/>
        <v>0</v>
      </c>
      <c r="S86">
        <v>4.5999999999999996</v>
      </c>
      <c r="T86">
        <v>0</v>
      </c>
      <c r="U86">
        <v>0</v>
      </c>
      <c r="V86" s="5">
        <v>1</v>
      </c>
    </row>
    <row r="87" spans="1:22" x14ac:dyDescent="0.2">
      <c r="A87" t="s">
        <v>118</v>
      </c>
      <c r="B87" t="s">
        <v>35</v>
      </c>
      <c r="C87">
        <v>140</v>
      </c>
      <c r="D87">
        <v>136</v>
      </c>
      <c r="E87" s="1">
        <v>0.25900000000000001</v>
      </c>
      <c r="F87">
        <v>14</v>
      </c>
      <c r="G87" s="2">
        <v>760000</v>
      </c>
      <c r="H87" s="7">
        <f t="shared" si="8"/>
        <v>98</v>
      </c>
      <c r="I87" t="s">
        <v>121</v>
      </c>
      <c r="J87">
        <f t="shared" si="7"/>
        <v>0</v>
      </c>
      <c r="K87">
        <f t="shared" si="6"/>
        <v>0</v>
      </c>
      <c r="L87">
        <f t="shared" si="6"/>
        <v>0</v>
      </c>
      <c r="M87">
        <f t="shared" si="6"/>
        <v>0</v>
      </c>
      <c r="N87">
        <f t="shared" si="6"/>
        <v>0</v>
      </c>
      <c r="O87">
        <f t="shared" si="6"/>
        <v>1</v>
      </c>
      <c r="P87">
        <f t="shared" si="6"/>
        <v>0</v>
      </c>
      <c r="Q87">
        <f t="shared" si="9"/>
        <v>1</v>
      </c>
      <c r="R87">
        <f t="shared" si="10"/>
        <v>0</v>
      </c>
      <c r="S87">
        <v>1.9</v>
      </c>
      <c r="T87">
        <v>0</v>
      </c>
      <c r="U87">
        <v>0</v>
      </c>
      <c r="V87" s="5">
        <v>0</v>
      </c>
    </row>
    <row r="88" spans="1:22" x14ac:dyDescent="0.2">
      <c r="A88" t="s">
        <v>148</v>
      </c>
      <c r="B88" t="s">
        <v>70</v>
      </c>
      <c r="C88">
        <v>148</v>
      </c>
      <c r="D88">
        <v>160</v>
      </c>
      <c r="E88" s="1">
        <v>0.28799999999999998</v>
      </c>
      <c r="F88">
        <v>37</v>
      </c>
      <c r="G88" s="2">
        <v>8500000</v>
      </c>
      <c r="H88" s="7">
        <f t="shared" si="8"/>
        <v>71</v>
      </c>
      <c r="I88" t="s">
        <v>186</v>
      </c>
      <c r="J88">
        <f t="shared" si="7"/>
        <v>1</v>
      </c>
      <c r="K88">
        <f t="shared" si="6"/>
        <v>0</v>
      </c>
      <c r="L88">
        <f t="shared" si="6"/>
        <v>0</v>
      </c>
      <c r="M88">
        <f t="shared" si="6"/>
        <v>0</v>
      </c>
      <c r="N88">
        <f t="shared" si="6"/>
        <v>0</v>
      </c>
      <c r="O88">
        <f t="shared" si="6"/>
        <v>0</v>
      </c>
      <c r="P88">
        <f t="shared" si="6"/>
        <v>0</v>
      </c>
      <c r="Q88">
        <f t="shared" si="9"/>
        <v>0</v>
      </c>
      <c r="R88">
        <f t="shared" si="10"/>
        <v>0</v>
      </c>
      <c r="S88">
        <v>5.4</v>
      </c>
      <c r="T88">
        <v>0</v>
      </c>
      <c r="U88">
        <v>0</v>
      </c>
      <c r="V88" s="5">
        <v>0</v>
      </c>
    </row>
    <row r="89" spans="1:22" x14ac:dyDescent="0.2">
      <c r="A89" t="s">
        <v>72</v>
      </c>
      <c r="B89" t="s">
        <v>73</v>
      </c>
      <c r="C89">
        <v>100</v>
      </c>
      <c r="D89">
        <v>90</v>
      </c>
      <c r="E89" s="1">
        <v>0.23</v>
      </c>
      <c r="F89">
        <v>15</v>
      </c>
      <c r="G89" s="2">
        <v>2000000</v>
      </c>
      <c r="H89" s="7">
        <f t="shared" si="8"/>
        <v>95</v>
      </c>
      <c r="I89" t="s">
        <v>76</v>
      </c>
      <c r="J89">
        <f t="shared" si="7"/>
        <v>0</v>
      </c>
      <c r="K89">
        <f t="shared" si="6"/>
        <v>0</v>
      </c>
      <c r="L89">
        <f t="shared" si="6"/>
        <v>1</v>
      </c>
      <c r="M89">
        <f t="shared" si="6"/>
        <v>0</v>
      </c>
      <c r="N89">
        <f t="shared" si="6"/>
        <v>0</v>
      </c>
      <c r="O89">
        <f t="shared" si="6"/>
        <v>0</v>
      </c>
      <c r="P89">
        <f t="shared" si="6"/>
        <v>0</v>
      </c>
      <c r="Q89">
        <f t="shared" si="9"/>
        <v>0</v>
      </c>
      <c r="R89">
        <f t="shared" si="10"/>
        <v>1</v>
      </c>
      <c r="S89">
        <v>0.5</v>
      </c>
      <c r="T89">
        <v>0</v>
      </c>
      <c r="U89">
        <v>0</v>
      </c>
      <c r="V89" s="5">
        <v>0</v>
      </c>
    </row>
    <row r="90" spans="1:22" x14ac:dyDescent="0.2">
      <c r="A90" t="s">
        <v>172</v>
      </c>
      <c r="B90" t="s">
        <v>44</v>
      </c>
      <c r="C90">
        <v>132</v>
      </c>
      <c r="D90">
        <v>126</v>
      </c>
      <c r="E90" s="1">
        <v>0.25700000000000001</v>
      </c>
      <c r="F90">
        <v>12</v>
      </c>
      <c r="G90" s="2">
        <v>10000000</v>
      </c>
      <c r="H90" s="7">
        <f t="shared" si="8"/>
        <v>64</v>
      </c>
      <c r="I90" t="s">
        <v>186</v>
      </c>
      <c r="J90">
        <f t="shared" si="7"/>
        <v>1</v>
      </c>
      <c r="K90">
        <f t="shared" si="6"/>
        <v>0</v>
      </c>
      <c r="L90">
        <f t="shared" si="6"/>
        <v>0</v>
      </c>
      <c r="M90">
        <f t="shared" si="6"/>
        <v>0</v>
      </c>
      <c r="N90">
        <f t="shared" si="6"/>
        <v>0</v>
      </c>
      <c r="O90">
        <f t="shared" si="6"/>
        <v>0</v>
      </c>
      <c r="P90">
        <f t="shared" si="6"/>
        <v>0</v>
      </c>
      <c r="Q90">
        <f t="shared" si="9"/>
        <v>0</v>
      </c>
      <c r="R90">
        <f t="shared" si="10"/>
        <v>0</v>
      </c>
      <c r="S90">
        <v>1.4</v>
      </c>
      <c r="T90">
        <v>0</v>
      </c>
      <c r="U90">
        <v>0</v>
      </c>
      <c r="V90" s="5">
        <v>0</v>
      </c>
    </row>
    <row r="91" spans="1:22" x14ac:dyDescent="0.2">
      <c r="A91" t="s">
        <v>138</v>
      </c>
      <c r="B91" t="s">
        <v>41</v>
      </c>
      <c r="C91">
        <v>152</v>
      </c>
      <c r="D91">
        <v>155</v>
      </c>
      <c r="E91" s="1">
        <v>0.26800000000000002</v>
      </c>
      <c r="F91">
        <v>34</v>
      </c>
      <c r="G91" s="2">
        <v>16000000</v>
      </c>
      <c r="H91" s="7">
        <f t="shared" si="8"/>
        <v>39</v>
      </c>
      <c r="I91" t="s">
        <v>141</v>
      </c>
      <c r="J91">
        <f t="shared" si="7"/>
        <v>0</v>
      </c>
      <c r="K91">
        <f t="shared" si="6"/>
        <v>0</v>
      </c>
      <c r="L91">
        <f t="shared" si="6"/>
        <v>0</v>
      </c>
      <c r="M91">
        <f t="shared" si="6"/>
        <v>0</v>
      </c>
      <c r="N91">
        <f t="shared" si="6"/>
        <v>0</v>
      </c>
      <c r="O91">
        <f t="shared" si="6"/>
        <v>0</v>
      </c>
      <c r="P91">
        <f t="shared" si="6"/>
        <v>1</v>
      </c>
      <c r="Q91">
        <f t="shared" si="9"/>
        <v>0</v>
      </c>
      <c r="R91">
        <f t="shared" si="10"/>
        <v>0</v>
      </c>
      <c r="S91">
        <v>2.9</v>
      </c>
      <c r="T91">
        <v>0</v>
      </c>
      <c r="U91">
        <v>0</v>
      </c>
      <c r="V91" s="5">
        <v>0</v>
      </c>
    </row>
    <row r="92" spans="1:22" x14ac:dyDescent="0.2">
      <c r="A92" t="s">
        <v>117</v>
      </c>
      <c r="B92" t="s">
        <v>46</v>
      </c>
      <c r="C92">
        <v>125</v>
      </c>
      <c r="D92">
        <v>120</v>
      </c>
      <c r="E92" s="1">
        <v>0.252</v>
      </c>
      <c r="F92">
        <v>12</v>
      </c>
      <c r="G92" s="2">
        <v>760000</v>
      </c>
      <c r="H92" s="7">
        <f t="shared" si="8"/>
        <v>98</v>
      </c>
      <c r="I92" t="s">
        <v>121</v>
      </c>
      <c r="J92">
        <f t="shared" si="7"/>
        <v>0</v>
      </c>
      <c r="K92">
        <f t="shared" si="6"/>
        <v>0</v>
      </c>
      <c r="L92">
        <f t="shared" si="6"/>
        <v>0</v>
      </c>
      <c r="M92">
        <f t="shared" si="6"/>
        <v>0</v>
      </c>
      <c r="N92">
        <f t="shared" si="6"/>
        <v>0</v>
      </c>
      <c r="O92">
        <f t="shared" si="6"/>
        <v>1</v>
      </c>
      <c r="P92">
        <f t="shared" si="6"/>
        <v>0</v>
      </c>
      <c r="Q92">
        <f t="shared" si="9"/>
        <v>1</v>
      </c>
      <c r="R92">
        <f t="shared" si="10"/>
        <v>0</v>
      </c>
      <c r="S92">
        <v>1.8</v>
      </c>
      <c r="T92">
        <v>0</v>
      </c>
      <c r="U92">
        <v>0</v>
      </c>
      <c r="V92" s="5">
        <v>0</v>
      </c>
    </row>
    <row r="93" spans="1:22" x14ac:dyDescent="0.2">
      <c r="A93" t="s">
        <v>78</v>
      </c>
      <c r="B93" t="s">
        <v>34</v>
      </c>
      <c r="C93">
        <v>158</v>
      </c>
      <c r="D93">
        <v>180</v>
      </c>
      <c r="E93" s="1">
        <v>0.27800000000000002</v>
      </c>
      <c r="F93">
        <v>28</v>
      </c>
      <c r="G93" s="2">
        <v>25000000</v>
      </c>
      <c r="H93" s="7">
        <f t="shared" si="8"/>
        <v>17</v>
      </c>
      <c r="I93" t="s">
        <v>100</v>
      </c>
      <c r="J93">
        <f t="shared" si="7"/>
        <v>0</v>
      </c>
      <c r="K93">
        <f t="shared" si="6"/>
        <v>0</v>
      </c>
      <c r="L93">
        <f t="shared" si="6"/>
        <v>0</v>
      </c>
      <c r="M93">
        <f t="shared" si="6"/>
        <v>1</v>
      </c>
      <c r="N93">
        <f t="shared" si="6"/>
        <v>0</v>
      </c>
      <c r="O93">
        <f t="shared" si="6"/>
        <v>0</v>
      </c>
      <c r="P93">
        <f t="shared" si="6"/>
        <v>0</v>
      </c>
      <c r="Q93">
        <f t="shared" si="9"/>
        <v>1</v>
      </c>
      <c r="R93">
        <f t="shared" si="10"/>
        <v>0</v>
      </c>
      <c r="S93">
        <v>5</v>
      </c>
      <c r="T93">
        <v>0</v>
      </c>
      <c r="U93">
        <v>0</v>
      </c>
      <c r="V93" s="5">
        <v>0</v>
      </c>
    </row>
    <row r="94" spans="1:22" x14ac:dyDescent="0.2">
      <c r="A94" t="s">
        <v>169</v>
      </c>
      <c r="B94" t="s">
        <v>57</v>
      </c>
      <c r="C94">
        <v>139</v>
      </c>
      <c r="D94">
        <v>133</v>
      </c>
      <c r="E94" s="1">
        <v>0.26</v>
      </c>
      <c r="F94">
        <v>16</v>
      </c>
      <c r="G94" s="2">
        <v>11000000</v>
      </c>
      <c r="H94" s="7">
        <f t="shared" si="8"/>
        <v>61</v>
      </c>
      <c r="I94" t="s">
        <v>186</v>
      </c>
      <c r="J94">
        <f t="shared" si="7"/>
        <v>1</v>
      </c>
      <c r="K94">
        <f t="shared" si="6"/>
        <v>0</v>
      </c>
      <c r="L94">
        <f t="shared" si="6"/>
        <v>0</v>
      </c>
      <c r="M94">
        <f t="shared" si="6"/>
        <v>0</v>
      </c>
      <c r="N94">
        <f t="shared" si="6"/>
        <v>0</v>
      </c>
      <c r="O94">
        <f t="shared" ref="K94:P112" si="11">IF($I94=O$1,1,0)</f>
        <v>0</v>
      </c>
      <c r="P94">
        <f t="shared" si="11"/>
        <v>0</v>
      </c>
      <c r="Q94">
        <f t="shared" si="9"/>
        <v>0</v>
      </c>
      <c r="R94">
        <f t="shared" si="10"/>
        <v>0</v>
      </c>
      <c r="S94">
        <v>1.5</v>
      </c>
      <c r="T94">
        <v>0</v>
      </c>
      <c r="U94">
        <v>0</v>
      </c>
      <c r="V94" s="5">
        <v>0</v>
      </c>
    </row>
    <row r="95" spans="1:22" x14ac:dyDescent="0.2">
      <c r="A95" t="s">
        <v>53</v>
      </c>
      <c r="B95" t="s">
        <v>41</v>
      </c>
      <c r="C95">
        <v>158</v>
      </c>
      <c r="D95">
        <v>170</v>
      </c>
      <c r="E95" s="1">
        <v>0.27200000000000002</v>
      </c>
      <c r="F95">
        <v>44</v>
      </c>
      <c r="G95" s="2">
        <v>22000000</v>
      </c>
      <c r="H95" s="7">
        <f t="shared" si="8"/>
        <v>24</v>
      </c>
      <c r="I95" t="s">
        <v>76</v>
      </c>
      <c r="J95">
        <f t="shared" si="7"/>
        <v>0</v>
      </c>
      <c r="K95">
        <f t="shared" si="11"/>
        <v>0</v>
      </c>
      <c r="L95">
        <f t="shared" si="11"/>
        <v>1</v>
      </c>
      <c r="M95">
        <f t="shared" si="11"/>
        <v>0</v>
      </c>
      <c r="N95">
        <f t="shared" si="11"/>
        <v>0</v>
      </c>
      <c r="O95">
        <f t="shared" si="11"/>
        <v>0</v>
      </c>
      <c r="P95">
        <f t="shared" si="11"/>
        <v>0</v>
      </c>
      <c r="Q95">
        <f t="shared" si="9"/>
        <v>0</v>
      </c>
      <c r="R95">
        <f t="shared" si="10"/>
        <v>1</v>
      </c>
      <c r="S95">
        <v>5</v>
      </c>
      <c r="T95">
        <v>0</v>
      </c>
      <c r="U95">
        <v>1</v>
      </c>
      <c r="V95" s="5">
        <v>0</v>
      </c>
    </row>
    <row r="96" spans="1:22" x14ac:dyDescent="0.2">
      <c r="A96" t="s">
        <v>156</v>
      </c>
      <c r="B96" t="s">
        <v>41</v>
      </c>
      <c r="C96">
        <v>150</v>
      </c>
      <c r="D96">
        <v>158</v>
      </c>
      <c r="E96" s="1">
        <v>0.28499999999999998</v>
      </c>
      <c r="F96">
        <v>20</v>
      </c>
      <c r="G96" s="2">
        <v>5000000</v>
      </c>
      <c r="H96" s="7">
        <f t="shared" si="8"/>
        <v>83</v>
      </c>
      <c r="I96" t="s">
        <v>186</v>
      </c>
      <c r="J96">
        <f t="shared" si="7"/>
        <v>1</v>
      </c>
      <c r="K96">
        <f t="shared" si="11"/>
        <v>0</v>
      </c>
      <c r="L96">
        <f t="shared" si="11"/>
        <v>0</v>
      </c>
      <c r="M96">
        <f t="shared" si="11"/>
        <v>0</v>
      </c>
      <c r="N96">
        <f t="shared" si="11"/>
        <v>0</v>
      </c>
      <c r="O96">
        <f t="shared" si="11"/>
        <v>0</v>
      </c>
      <c r="P96">
        <f t="shared" si="11"/>
        <v>0</v>
      </c>
      <c r="Q96">
        <f t="shared" si="9"/>
        <v>0</v>
      </c>
      <c r="R96">
        <f t="shared" si="10"/>
        <v>0</v>
      </c>
      <c r="S96">
        <v>4.4000000000000004</v>
      </c>
      <c r="T96">
        <v>0</v>
      </c>
      <c r="U96">
        <v>0</v>
      </c>
      <c r="V96" s="5">
        <v>0</v>
      </c>
    </row>
    <row r="97" spans="1:22" x14ac:dyDescent="0.2">
      <c r="A97" t="s">
        <v>99</v>
      </c>
      <c r="B97" t="s">
        <v>29</v>
      </c>
      <c r="C97">
        <v>130</v>
      </c>
      <c r="D97">
        <v>119</v>
      </c>
      <c r="E97" s="1">
        <v>0.249</v>
      </c>
      <c r="F97">
        <v>17</v>
      </c>
      <c r="G97" s="2">
        <v>760000</v>
      </c>
      <c r="H97" s="7">
        <f t="shared" si="8"/>
        <v>98</v>
      </c>
      <c r="I97" t="s">
        <v>121</v>
      </c>
      <c r="J97">
        <f t="shared" si="7"/>
        <v>0</v>
      </c>
      <c r="K97">
        <f t="shared" si="11"/>
        <v>0</v>
      </c>
      <c r="L97">
        <f t="shared" si="11"/>
        <v>0</v>
      </c>
      <c r="M97">
        <f t="shared" si="11"/>
        <v>0</v>
      </c>
      <c r="N97">
        <f t="shared" si="11"/>
        <v>0</v>
      </c>
      <c r="O97">
        <f t="shared" si="11"/>
        <v>1</v>
      </c>
      <c r="P97">
        <f t="shared" si="11"/>
        <v>0</v>
      </c>
      <c r="Q97">
        <f t="shared" si="9"/>
        <v>1</v>
      </c>
      <c r="R97">
        <f t="shared" si="10"/>
        <v>0</v>
      </c>
      <c r="S97">
        <v>1.9</v>
      </c>
      <c r="T97">
        <v>0</v>
      </c>
      <c r="U97">
        <v>0</v>
      </c>
      <c r="V97" s="5">
        <v>0</v>
      </c>
    </row>
    <row r="98" spans="1:22" x14ac:dyDescent="0.2">
      <c r="A98" t="s">
        <v>129</v>
      </c>
      <c r="B98" t="s">
        <v>57</v>
      </c>
      <c r="C98">
        <v>118</v>
      </c>
      <c r="D98">
        <v>112</v>
      </c>
      <c r="E98" s="1">
        <v>0.25900000000000001</v>
      </c>
      <c r="F98">
        <v>15</v>
      </c>
      <c r="G98" s="2">
        <v>32000000</v>
      </c>
      <c r="H98" s="7">
        <f t="shared" si="8"/>
        <v>7</v>
      </c>
      <c r="I98" t="s">
        <v>141</v>
      </c>
      <c r="J98">
        <f t="shared" si="7"/>
        <v>0</v>
      </c>
      <c r="K98">
        <f t="shared" si="11"/>
        <v>0</v>
      </c>
      <c r="L98">
        <f t="shared" si="11"/>
        <v>0</v>
      </c>
      <c r="M98">
        <f t="shared" si="11"/>
        <v>0</v>
      </c>
      <c r="N98">
        <f t="shared" si="11"/>
        <v>0</v>
      </c>
      <c r="O98">
        <f t="shared" si="11"/>
        <v>0</v>
      </c>
      <c r="P98">
        <f t="shared" si="11"/>
        <v>1</v>
      </c>
      <c r="Q98">
        <f t="shared" si="9"/>
        <v>0</v>
      </c>
      <c r="R98">
        <f t="shared" si="10"/>
        <v>0</v>
      </c>
      <c r="S98">
        <v>0</v>
      </c>
      <c r="T98">
        <v>0</v>
      </c>
      <c r="U98">
        <v>0</v>
      </c>
      <c r="V98" s="5">
        <v>0</v>
      </c>
    </row>
    <row r="99" spans="1:22" x14ac:dyDescent="0.2">
      <c r="A99" t="s">
        <v>147</v>
      </c>
      <c r="B99" t="s">
        <v>96</v>
      </c>
      <c r="C99">
        <v>140</v>
      </c>
      <c r="D99">
        <v>145</v>
      </c>
      <c r="E99" s="1">
        <v>0.29099999999999998</v>
      </c>
      <c r="F99">
        <v>33</v>
      </c>
      <c r="G99" s="2">
        <v>37000000</v>
      </c>
      <c r="H99" s="7">
        <f t="shared" si="8"/>
        <v>3</v>
      </c>
      <c r="I99" t="s">
        <v>186</v>
      </c>
      <c r="J99">
        <f t="shared" si="7"/>
        <v>1</v>
      </c>
      <c r="K99">
        <f t="shared" si="11"/>
        <v>0</v>
      </c>
      <c r="L99">
        <f t="shared" si="11"/>
        <v>0</v>
      </c>
      <c r="M99">
        <f t="shared" si="11"/>
        <v>0</v>
      </c>
      <c r="N99">
        <f t="shared" si="11"/>
        <v>0</v>
      </c>
      <c r="O99">
        <f t="shared" si="11"/>
        <v>0</v>
      </c>
      <c r="P99">
        <f t="shared" si="11"/>
        <v>0</v>
      </c>
      <c r="Q99">
        <f t="shared" si="9"/>
        <v>0</v>
      </c>
      <c r="R99">
        <f t="shared" si="10"/>
        <v>0</v>
      </c>
      <c r="S99">
        <v>6.2</v>
      </c>
      <c r="T99">
        <v>0</v>
      </c>
      <c r="U99">
        <v>1</v>
      </c>
      <c r="V99" s="5">
        <v>0</v>
      </c>
    </row>
    <row r="100" spans="1:22" x14ac:dyDescent="0.2">
      <c r="A100" t="s">
        <v>179</v>
      </c>
      <c r="B100" t="s">
        <v>29</v>
      </c>
      <c r="C100">
        <v>140</v>
      </c>
      <c r="D100">
        <v>136</v>
      </c>
      <c r="E100" s="1">
        <v>0.26</v>
      </c>
      <c r="F100">
        <v>19</v>
      </c>
      <c r="G100" s="2">
        <v>760000</v>
      </c>
      <c r="H100" s="7">
        <f t="shared" si="8"/>
        <v>98</v>
      </c>
      <c r="I100" t="s">
        <v>186</v>
      </c>
      <c r="J100">
        <f t="shared" si="7"/>
        <v>1</v>
      </c>
      <c r="K100">
        <f t="shared" si="11"/>
        <v>0</v>
      </c>
      <c r="L100">
        <f t="shared" si="11"/>
        <v>0</v>
      </c>
      <c r="M100">
        <f t="shared" si="11"/>
        <v>0</v>
      </c>
      <c r="N100">
        <f t="shared" si="11"/>
        <v>0</v>
      </c>
      <c r="O100">
        <f t="shared" si="11"/>
        <v>0</v>
      </c>
      <c r="P100">
        <f t="shared" si="11"/>
        <v>0</v>
      </c>
      <c r="Q100">
        <f t="shared" si="9"/>
        <v>0</v>
      </c>
      <c r="R100">
        <f t="shared" si="10"/>
        <v>0</v>
      </c>
      <c r="S100">
        <v>2</v>
      </c>
      <c r="T100">
        <v>0</v>
      </c>
      <c r="U100">
        <v>0</v>
      </c>
      <c r="V100" s="5">
        <v>0</v>
      </c>
    </row>
    <row r="101" spans="1:22" x14ac:dyDescent="0.2">
      <c r="A101" t="s">
        <v>145</v>
      </c>
      <c r="B101" t="s">
        <v>28</v>
      </c>
      <c r="C101">
        <v>156</v>
      </c>
      <c r="D101">
        <v>177</v>
      </c>
      <c r="E101" s="1">
        <v>0.29199999999999998</v>
      </c>
      <c r="F101">
        <v>35</v>
      </c>
      <c r="G101" s="2">
        <v>30000000</v>
      </c>
      <c r="H101" s="7">
        <f t="shared" si="8"/>
        <v>10</v>
      </c>
      <c r="I101" t="s">
        <v>186</v>
      </c>
      <c r="J101">
        <f t="shared" si="7"/>
        <v>1</v>
      </c>
      <c r="K101">
        <f t="shared" si="7"/>
        <v>0</v>
      </c>
      <c r="L101">
        <f t="shared" si="7"/>
        <v>0</v>
      </c>
      <c r="M101">
        <f t="shared" si="7"/>
        <v>0</v>
      </c>
      <c r="N101">
        <f t="shared" si="7"/>
        <v>0</v>
      </c>
      <c r="O101">
        <f t="shared" si="7"/>
        <v>0</v>
      </c>
      <c r="P101">
        <f t="shared" si="11"/>
        <v>0</v>
      </c>
      <c r="Q101">
        <f t="shared" si="9"/>
        <v>0</v>
      </c>
      <c r="R101">
        <f t="shared" si="10"/>
        <v>0</v>
      </c>
      <c r="S101">
        <v>8</v>
      </c>
      <c r="T101">
        <v>0</v>
      </c>
      <c r="U101">
        <v>0</v>
      </c>
      <c r="V101" s="5">
        <v>0</v>
      </c>
    </row>
    <row r="102" spans="1:22" x14ac:dyDescent="0.2">
      <c r="A102" t="s">
        <v>54</v>
      </c>
      <c r="B102" t="s">
        <v>34</v>
      </c>
      <c r="C102">
        <v>147</v>
      </c>
      <c r="D102">
        <v>142</v>
      </c>
      <c r="E102" s="1">
        <v>0.26800000000000002</v>
      </c>
      <c r="F102">
        <v>20</v>
      </c>
      <c r="G102" s="2">
        <v>760000</v>
      </c>
      <c r="H102" s="7">
        <f t="shared" si="8"/>
        <v>98</v>
      </c>
      <c r="I102" t="s">
        <v>76</v>
      </c>
      <c r="J102">
        <f t="shared" si="7"/>
        <v>0</v>
      </c>
      <c r="K102">
        <f t="shared" si="7"/>
        <v>0</v>
      </c>
      <c r="L102">
        <f t="shared" si="7"/>
        <v>1</v>
      </c>
      <c r="M102">
        <f t="shared" si="7"/>
        <v>0</v>
      </c>
      <c r="N102">
        <f t="shared" si="7"/>
        <v>0</v>
      </c>
      <c r="O102">
        <f t="shared" si="7"/>
        <v>0</v>
      </c>
      <c r="P102">
        <f t="shared" si="11"/>
        <v>0</v>
      </c>
      <c r="Q102">
        <f t="shared" si="9"/>
        <v>0</v>
      </c>
      <c r="R102">
        <f t="shared" si="10"/>
        <v>1</v>
      </c>
      <c r="S102">
        <v>2.2999999999999998</v>
      </c>
      <c r="T102">
        <v>0</v>
      </c>
      <c r="U102">
        <v>0</v>
      </c>
      <c r="V102" s="5">
        <v>0</v>
      </c>
    </row>
    <row r="103" spans="1:22" x14ac:dyDescent="0.2">
      <c r="A103" t="s">
        <v>128</v>
      </c>
      <c r="B103" t="s">
        <v>89</v>
      </c>
      <c r="C103">
        <v>120</v>
      </c>
      <c r="D103">
        <v>110</v>
      </c>
      <c r="E103" s="1">
        <v>0.251</v>
      </c>
      <c r="F103">
        <v>21</v>
      </c>
      <c r="G103" s="2">
        <v>2000000</v>
      </c>
      <c r="H103" s="7">
        <f t="shared" si="8"/>
        <v>95</v>
      </c>
      <c r="I103" t="s">
        <v>141</v>
      </c>
      <c r="J103">
        <f t="shared" si="7"/>
        <v>0</v>
      </c>
      <c r="K103">
        <f t="shared" si="7"/>
        <v>0</v>
      </c>
      <c r="L103">
        <f t="shared" si="7"/>
        <v>0</v>
      </c>
      <c r="M103">
        <f t="shared" si="7"/>
        <v>0</v>
      </c>
      <c r="N103">
        <f t="shared" si="7"/>
        <v>0</v>
      </c>
      <c r="O103">
        <f t="shared" si="7"/>
        <v>0</v>
      </c>
      <c r="P103">
        <f t="shared" si="11"/>
        <v>1</v>
      </c>
      <c r="Q103">
        <f t="shared" si="9"/>
        <v>0</v>
      </c>
      <c r="R103">
        <f t="shared" si="10"/>
        <v>0</v>
      </c>
      <c r="S103">
        <v>0.5</v>
      </c>
      <c r="T103">
        <v>0</v>
      </c>
      <c r="U103">
        <v>0</v>
      </c>
      <c r="V103" s="5">
        <v>0</v>
      </c>
    </row>
    <row r="104" spans="1:22" x14ac:dyDescent="0.2">
      <c r="A104" t="s">
        <v>159</v>
      </c>
      <c r="B104" t="s">
        <v>27</v>
      </c>
      <c r="C104">
        <v>150</v>
      </c>
      <c r="D104">
        <v>155</v>
      </c>
      <c r="E104" s="1">
        <v>0.26900000000000002</v>
      </c>
      <c r="F104">
        <v>22</v>
      </c>
      <c r="G104" s="2">
        <v>20000000</v>
      </c>
      <c r="H104" s="7">
        <f t="shared" si="8"/>
        <v>26</v>
      </c>
      <c r="I104" t="s">
        <v>186</v>
      </c>
      <c r="J104">
        <f t="shared" si="7"/>
        <v>1</v>
      </c>
      <c r="K104">
        <f t="shared" si="7"/>
        <v>0</v>
      </c>
      <c r="L104">
        <f t="shared" si="7"/>
        <v>0</v>
      </c>
      <c r="M104">
        <f t="shared" si="7"/>
        <v>0</v>
      </c>
      <c r="N104">
        <f t="shared" si="7"/>
        <v>0</v>
      </c>
      <c r="O104">
        <f t="shared" si="7"/>
        <v>0</v>
      </c>
      <c r="P104">
        <f t="shared" si="11"/>
        <v>0</v>
      </c>
      <c r="Q104">
        <f t="shared" si="9"/>
        <v>0</v>
      </c>
      <c r="R104">
        <f t="shared" si="10"/>
        <v>0</v>
      </c>
      <c r="S104">
        <v>2.9</v>
      </c>
      <c r="T104">
        <v>0</v>
      </c>
      <c r="U104">
        <v>0</v>
      </c>
      <c r="V104" s="5">
        <v>0</v>
      </c>
    </row>
    <row r="105" spans="1:22" x14ac:dyDescent="0.2">
      <c r="A105" t="s">
        <v>85</v>
      </c>
      <c r="B105" t="s">
        <v>86</v>
      </c>
      <c r="C105">
        <v>148</v>
      </c>
      <c r="D105">
        <v>160</v>
      </c>
      <c r="E105" s="1">
        <v>0.27200000000000002</v>
      </c>
      <c r="F105">
        <v>14</v>
      </c>
      <c r="G105" s="2">
        <v>11125000</v>
      </c>
      <c r="H105" s="7">
        <f t="shared" si="8"/>
        <v>59</v>
      </c>
      <c r="I105" t="s">
        <v>100</v>
      </c>
      <c r="J105">
        <f t="shared" si="7"/>
        <v>0</v>
      </c>
      <c r="K105">
        <f t="shared" si="7"/>
        <v>0</v>
      </c>
      <c r="L105">
        <f t="shared" si="7"/>
        <v>0</v>
      </c>
      <c r="M105">
        <f t="shared" si="7"/>
        <v>1</v>
      </c>
      <c r="N105">
        <f t="shared" si="7"/>
        <v>0</v>
      </c>
      <c r="O105">
        <f t="shared" si="7"/>
        <v>0</v>
      </c>
      <c r="P105">
        <f t="shared" si="11"/>
        <v>0</v>
      </c>
      <c r="Q105">
        <f t="shared" si="9"/>
        <v>1</v>
      </c>
      <c r="R105">
        <f t="shared" si="10"/>
        <v>0</v>
      </c>
      <c r="S105">
        <v>3.8</v>
      </c>
      <c r="T105">
        <v>0</v>
      </c>
      <c r="U105">
        <v>0</v>
      </c>
      <c r="V105" s="5">
        <v>0</v>
      </c>
    </row>
    <row r="106" spans="1:22" x14ac:dyDescent="0.2">
      <c r="A106" t="s">
        <v>108</v>
      </c>
      <c r="B106" t="s">
        <v>40</v>
      </c>
      <c r="C106">
        <v>136</v>
      </c>
      <c r="D106">
        <v>128</v>
      </c>
      <c r="E106" s="1">
        <v>0.25700000000000001</v>
      </c>
      <c r="F106">
        <v>25</v>
      </c>
      <c r="G106" s="2">
        <v>760000</v>
      </c>
      <c r="H106" s="7">
        <f t="shared" si="8"/>
        <v>98</v>
      </c>
      <c r="I106" t="s">
        <v>121</v>
      </c>
      <c r="J106">
        <f t="shared" si="7"/>
        <v>0</v>
      </c>
      <c r="K106">
        <f t="shared" si="7"/>
        <v>0</v>
      </c>
      <c r="L106">
        <f t="shared" si="7"/>
        <v>0</v>
      </c>
      <c r="M106">
        <f t="shared" si="7"/>
        <v>0</v>
      </c>
      <c r="N106">
        <f t="shared" si="7"/>
        <v>0</v>
      </c>
      <c r="O106">
        <f t="shared" si="7"/>
        <v>1</v>
      </c>
      <c r="P106">
        <f t="shared" si="11"/>
        <v>0</v>
      </c>
      <c r="Q106">
        <f t="shared" si="9"/>
        <v>1</v>
      </c>
      <c r="R106">
        <f t="shared" si="10"/>
        <v>0</v>
      </c>
      <c r="S106">
        <v>3.2</v>
      </c>
      <c r="T106">
        <v>0</v>
      </c>
      <c r="U106">
        <v>0</v>
      </c>
      <c r="V106" s="5">
        <v>0</v>
      </c>
    </row>
    <row r="107" spans="1:22" x14ac:dyDescent="0.2">
      <c r="A107" t="s">
        <v>183</v>
      </c>
      <c r="B107" t="s">
        <v>38</v>
      </c>
      <c r="C107">
        <v>125</v>
      </c>
      <c r="D107">
        <v>120</v>
      </c>
      <c r="E107" s="1">
        <v>0.25600000000000001</v>
      </c>
      <c r="F107">
        <v>13</v>
      </c>
      <c r="G107" s="2">
        <v>760000</v>
      </c>
      <c r="H107" s="7">
        <f t="shared" si="8"/>
        <v>98</v>
      </c>
      <c r="I107" t="s">
        <v>186</v>
      </c>
      <c r="J107">
        <f t="shared" si="7"/>
        <v>1</v>
      </c>
      <c r="K107">
        <f t="shared" si="7"/>
        <v>0</v>
      </c>
      <c r="L107">
        <f t="shared" si="7"/>
        <v>0</v>
      </c>
      <c r="M107">
        <f t="shared" si="7"/>
        <v>0</v>
      </c>
      <c r="N107">
        <f t="shared" si="7"/>
        <v>0</v>
      </c>
      <c r="O107">
        <f t="shared" si="7"/>
        <v>0</v>
      </c>
      <c r="P107">
        <f t="shared" si="11"/>
        <v>0</v>
      </c>
      <c r="Q107">
        <f t="shared" si="9"/>
        <v>0</v>
      </c>
      <c r="R107">
        <f t="shared" si="10"/>
        <v>0</v>
      </c>
      <c r="S107">
        <v>1.3</v>
      </c>
      <c r="T107">
        <v>0</v>
      </c>
      <c r="U107">
        <v>0</v>
      </c>
      <c r="V107" s="5">
        <v>0</v>
      </c>
    </row>
    <row r="108" spans="1:22" x14ac:dyDescent="0.2">
      <c r="A108" t="s">
        <v>79</v>
      </c>
      <c r="B108" t="s">
        <v>41</v>
      </c>
      <c r="C108">
        <v>150</v>
      </c>
      <c r="D108">
        <v>162</v>
      </c>
      <c r="E108" s="1">
        <v>0.28399999999999997</v>
      </c>
      <c r="F108">
        <v>27</v>
      </c>
      <c r="G108" s="2">
        <v>7000000</v>
      </c>
      <c r="H108" s="7">
        <f t="shared" si="8"/>
        <v>77</v>
      </c>
      <c r="I108" t="s">
        <v>100</v>
      </c>
      <c r="J108">
        <f t="shared" si="7"/>
        <v>0</v>
      </c>
      <c r="K108">
        <f t="shared" si="7"/>
        <v>0</v>
      </c>
      <c r="L108">
        <f t="shared" si="7"/>
        <v>0</v>
      </c>
      <c r="M108">
        <f t="shared" si="7"/>
        <v>1</v>
      </c>
      <c r="N108">
        <f t="shared" si="7"/>
        <v>0</v>
      </c>
      <c r="O108">
        <f t="shared" si="7"/>
        <v>0</v>
      </c>
      <c r="P108">
        <f t="shared" si="11"/>
        <v>0</v>
      </c>
      <c r="Q108">
        <f t="shared" si="9"/>
        <v>1</v>
      </c>
      <c r="R108">
        <f t="shared" si="10"/>
        <v>0</v>
      </c>
      <c r="S108">
        <v>4.0999999999999996</v>
      </c>
      <c r="T108">
        <v>0</v>
      </c>
      <c r="U108">
        <v>0</v>
      </c>
      <c r="V108" s="5">
        <v>0</v>
      </c>
    </row>
    <row r="109" spans="1:22" x14ac:dyDescent="0.2">
      <c r="A109" t="s">
        <v>26</v>
      </c>
      <c r="B109" t="s">
        <v>46</v>
      </c>
      <c r="C109">
        <v>134</v>
      </c>
      <c r="D109">
        <v>90</v>
      </c>
      <c r="E109" s="1">
        <v>0.222</v>
      </c>
      <c r="F109">
        <v>6</v>
      </c>
      <c r="G109" s="2">
        <v>760000</v>
      </c>
      <c r="H109" s="7">
        <f t="shared" si="8"/>
        <v>98</v>
      </c>
      <c r="I109" t="s">
        <v>47</v>
      </c>
      <c r="J109">
        <f t="shared" si="7"/>
        <v>0</v>
      </c>
      <c r="K109">
        <f t="shared" si="7"/>
        <v>1</v>
      </c>
      <c r="L109">
        <f t="shared" si="7"/>
        <v>0</v>
      </c>
      <c r="M109">
        <f t="shared" si="7"/>
        <v>0</v>
      </c>
      <c r="N109">
        <f t="shared" si="7"/>
        <v>0</v>
      </c>
      <c r="O109">
        <f t="shared" si="7"/>
        <v>0</v>
      </c>
      <c r="P109">
        <f t="shared" si="11"/>
        <v>0</v>
      </c>
      <c r="Q109">
        <f t="shared" si="9"/>
        <v>0</v>
      </c>
      <c r="R109">
        <f t="shared" si="10"/>
        <v>0</v>
      </c>
      <c r="S109">
        <v>1.7</v>
      </c>
      <c r="T109">
        <v>0</v>
      </c>
      <c r="U109">
        <v>1</v>
      </c>
      <c r="V109" s="5">
        <v>0</v>
      </c>
    </row>
    <row r="110" spans="1:22" x14ac:dyDescent="0.2">
      <c r="A110" t="s">
        <v>119</v>
      </c>
      <c r="B110" t="s">
        <v>120</v>
      </c>
      <c r="C110">
        <v>122</v>
      </c>
      <c r="D110">
        <v>108</v>
      </c>
      <c r="E110" s="1">
        <v>0.23699999999999999</v>
      </c>
      <c r="F110">
        <v>16</v>
      </c>
      <c r="G110" s="2">
        <v>4000000</v>
      </c>
      <c r="H110" s="7">
        <f t="shared" si="8"/>
        <v>93</v>
      </c>
      <c r="I110" t="s">
        <v>121</v>
      </c>
      <c r="J110">
        <f t="shared" si="7"/>
        <v>0</v>
      </c>
      <c r="K110">
        <f t="shared" si="7"/>
        <v>0</v>
      </c>
      <c r="L110">
        <f t="shared" si="7"/>
        <v>0</v>
      </c>
      <c r="M110">
        <f t="shared" si="7"/>
        <v>0</v>
      </c>
      <c r="N110">
        <f t="shared" si="7"/>
        <v>0</v>
      </c>
      <c r="O110">
        <f t="shared" si="7"/>
        <v>1</v>
      </c>
      <c r="P110">
        <f t="shared" si="11"/>
        <v>0</v>
      </c>
      <c r="Q110">
        <f t="shared" si="9"/>
        <v>1</v>
      </c>
      <c r="R110">
        <f t="shared" si="10"/>
        <v>0</v>
      </c>
      <c r="S110">
        <v>1</v>
      </c>
      <c r="T110">
        <v>0</v>
      </c>
      <c r="U110">
        <v>0</v>
      </c>
      <c r="V110" s="5">
        <v>0</v>
      </c>
    </row>
    <row r="111" spans="1:22" x14ac:dyDescent="0.2">
      <c r="A111" t="s">
        <v>51</v>
      </c>
      <c r="B111" t="s">
        <v>52</v>
      </c>
      <c r="C111">
        <v>152</v>
      </c>
      <c r="D111">
        <v>162</v>
      </c>
      <c r="E111" s="1">
        <v>0.26700000000000002</v>
      </c>
      <c r="F111">
        <v>23</v>
      </c>
      <c r="G111" s="2">
        <v>26000000</v>
      </c>
      <c r="H111" s="7">
        <f t="shared" si="8"/>
        <v>15</v>
      </c>
      <c r="I111" t="s">
        <v>76</v>
      </c>
      <c r="J111">
        <f t="shared" si="7"/>
        <v>0</v>
      </c>
      <c r="K111">
        <f t="shared" si="7"/>
        <v>0</v>
      </c>
      <c r="L111">
        <f t="shared" si="7"/>
        <v>1</v>
      </c>
      <c r="M111">
        <f t="shared" si="7"/>
        <v>0</v>
      </c>
      <c r="N111">
        <f t="shared" si="7"/>
        <v>0</v>
      </c>
      <c r="O111">
        <f t="shared" si="7"/>
        <v>0</v>
      </c>
      <c r="P111">
        <f t="shared" si="11"/>
        <v>0</v>
      </c>
      <c r="Q111">
        <f t="shared" si="9"/>
        <v>0</v>
      </c>
      <c r="R111">
        <f t="shared" si="10"/>
        <v>1</v>
      </c>
      <c r="S111">
        <v>3.1</v>
      </c>
      <c r="T111">
        <v>0</v>
      </c>
      <c r="U111">
        <v>0</v>
      </c>
      <c r="V111" s="5">
        <v>0</v>
      </c>
    </row>
    <row r="112" spans="1:22" x14ac:dyDescent="0.2">
      <c r="A112" t="s">
        <v>50</v>
      </c>
      <c r="B112" t="s">
        <v>43</v>
      </c>
      <c r="C112">
        <v>150</v>
      </c>
      <c r="D112">
        <v>148</v>
      </c>
      <c r="E112" s="1">
        <v>0.26</v>
      </c>
      <c r="F112">
        <v>41</v>
      </c>
      <c r="G112" s="2">
        <v>20000000</v>
      </c>
      <c r="H112" s="7">
        <f t="shared" si="8"/>
        <v>26</v>
      </c>
      <c r="I112" t="s">
        <v>76</v>
      </c>
      <c r="J112">
        <f t="shared" si="7"/>
        <v>0</v>
      </c>
      <c r="K112">
        <f t="shared" si="7"/>
        <v>0</v>
      </c>
      <c r="L112">
        <f t="shared" si="7"/>
        <v>1</v>
      </c>
      <c r="M112">
        <f t="shared" si="7"/>
        <v>0</v>
      </c>
      <c r="N112">
        <f t="shared" si="7"/>
        <v>0</v>
      </c>
      <c r="O112">
        <f t="shared" si="7"/>
        <v>0</v>
      </c>
      <c r="P112">
        <f t="shared" si="11"/>
        <v>0</v>
      </c>
      <c r="Q112">
        <f t="shared" si="9"/>
        <v>0</v>
      </c>
      <c r="R112">
        <f t="shared" si="10"/>
        <v>1</v>
      </c>
      <c r="S112">
        <v>4</v>
      </c>
      <c r="T112">
        <v>0</v>
      </c>
      <c r="U112">
        <v>0</v>
      </c>
      <c r="V112" s="5">
        <v>0</v>
      </c>
    </row>
    <row r="113" spans="1:22" x14ac:dyDescent="0.2">
      <c r="A113" t="s">
        <v>154</v>
      </c>
      <c r="B113" t="s">
        <v>83</v>
      </c>
      <c r="C113">
        <v>147</v>
      </c>
      <c r="D113">
        <v>150</v>
      </c>
      <c r="E113" s="1">
        <v>0.26400000000000001</v>
      </c>
      <c r="F113">
        <v>25</v>
      </c>
      <c r="G113" s="2">
        <v>4800000</v>
      </c>
      <c r="H113" s="7">
        <f t="shared" si="8"/>
        <v>87</v>
      </c>
      <c r="I113" t="s">
        <v>186</v>
      </c>
      <c r="J113">
        <f t="shared" si="7"/>
        <v>1</v>
      </c>
      <c r="K113">
        <f t="shared" si="7"/>
        <v>0</v>
      </c>
      <c r="L113">
        <f t="shared" si="7"/>
        <v>0</v>
      </c>
      <c r="M113">
        <f t="shared" si="7"/>
        <v>0</v>
      </c>
      <c r="N113">
        <f t="shared" si="7"/>
        <v>0</v>
      </c>
      <c r="O113">
        <f t="shared" si="7"/>
        <v>0</v>
      </c>
      <c r="P113">
        <f t="shared" si="7"/>
        <v>0</v>
      </c>
      <c r="Q113">
        <f t="shared" si="9"/>
        <v>0</v>
      </c>
      <c r="R113">
        <f t="shared" si="10"/>
        <v>0</v>
      </c>
      <c r="S113">
        <v>3.5</v>
      </c>
      <c r="T113">
        <v>0</v>
      </c>
      <c r="U113">
        <v>0</v>
      </c>
      <c r="V113" s="5">
        <v>0</v>
      </c>
    </row>
    <row r="114" spans="1:22" x14ac:dyDescent="0.2">
      <c r="A114" t="s">
        <v>58</v>
      </c>
      <c r="B114" t="s">
        <v>32</v>
      </c>
      <c r="C114">
        <v>142</v>
      </c>
      <c r="D114">
        <v>128</v>
      </c>
      <c r="E114" s="1">
        <v>0.248</v>
      </c>
      <c r="F114">
        <v>27</v>
      </c>
      <c r="G114" s="2">
        <v>12000000</v>
      </c>
      <c r="H114" s="7">
        <f t="shared" si="8"/>
        <v>50</v>
      </c>
      <c r="I114" t="s">
        <v>76</v>
      </c>
      <c r="J114">
        <f t="shared" si="7"/>
        <v>0</v>
      </c>
      <c r="K114">
        <f t="shared" si="7"/>
        <v>0</v>
      </c>
      <c r="L114">
        <f t="shared" si="7"/>
        <v>1</v>
      </c>
      <c r="M114">
        <f t="shared" si="7"/>
        <v>0</v>
      </c>
      <c r="N114">
        <f t="shared" si="7"/>
        <v>0</v>
      </c>
      <c r="O114">
        <f t="shared" si="7"/>
        <v>0</v>
      </c>
      <c r="P114">
        <f t="shared" si="7"/>
        <v>0</v>
      </c>
      <c r="Q114">
        <f t="shared" si="9"/>
        <v>0</v>
      </c>
      <c r="R114">
        <f t="shared" si="10"/>
        <v>1</v>
      </c>
      <c r="S114">
        <v>2.7</v>
      </c>
      <c r="T114">
        <v>0</v>
      </c>
      <c r="U114">
        <v>0</v>
      </c>
      <c r="V114" s="5">
        <v>0</v>
      </c>
    </row>
    <row r="115" spans="1:22" x14ac:dyDescent="0.2">
      <c r="A115" t="s">
        <v>144</v>
      </c>
      <c r="B115" t="s">
        <v>41</v>
      </c>
      <c r="C115">
        <v>154</v>
      </c>
      <c r="D115">
        <v>184</v>
      </c>
      <c r="E115" s="1">
        <v>0.32400000000000001</v>
      </c>
      <c r="F115">
        <v>38</v>
      </c>
      <c r="G115" s="2">
        <v>17000000</v>
      </c>
      <c r="H115" s="7">
        <f t="shared" si="8"/>
        <v>36</v>
      </c>
      <c r="I115" t="s">
        <v>186</v>
      </c>
      <c r="J115">
        <f t="shared" si="7"/>
        <v>1</v>
      </c>
      <c r="K115">
        <f t="shared" si="7"/>
        <v>0</v>
      </c>
      <c r="L115">
        <f t="shared" si="7"/>
        <v>0</v>
      </c>
      <c r="M115">
        <f t="shared" si="7"/>
        <v>0</v>
      </c>
      <c r="N115">
        <f t="shared" si="7"/>
        <v>0</v>
      </c>
      <c r="O115">
        <f t="shared" si="7"/>
        <v>0</v>
      </c>
      <c r="P115">
        <f t="shared" si="7"/>
        <v>0</v>
      </c>
      <c r="Q115">
        <f t="shared" si="9"/>
        <v>0</v>
      </c>
      <c r="R115">
        <f t="shared" si="10"/>
        <v>0</v>
      </c>
      <c r="S115">
        <v>8.5</v>
      </c>
      <c r="T115">
        <v>0</v>
      </c>
      <c r="U115">
        <v>0</v>
      </c>
      <c r="V115" s="5">
        <v>1</v>
      </c>
    </row>
    <row r="116" spans="1:22" x14ac:dyDescent="0.2">
      <c r="A116" t="s">
        <v>61</v>
      </c>
      <c r="B116" t="s">
        <v>40</v>
      </c>
      <c r="C116">
        <v>130</v>
      </c>
      <c r="D116">
        <v>115</v>
      </c>
      <c r="E116" s="1">
        <v>0.24299999999999999</v>
      </c>
      <c r="F116">
        <v>20</v>
      </c>
      <c r="G116" s="2">
        <v>760000</v>
      </c>
      <c r="H116" s="7">
        <f t="shared" si="8"/>
        <v>98</v>
      </c>
      <c r="I116" t="s">
        <v>76</v>
      </c>
      <c r="J116">
        <f t="shared" si="7"/>
        <v>0</v>
      </c>
      <c r="K116">
        <f t="shared" si="7"/>
        <v>0</v>
      </c>
      <c r="L116">
        <f t="shared" si="7"/>
        <v>1</v>
      </c>
      <c r="M116">
        <f t="shared" si="7"/>
        <v>0</v>
      </c>
      <c r="N116">
        <f t="shared" si="7"/>
        <v>0</v>
      </c>
      <c r="O116">
        <f t="shared" si="7"/>
        <v>0</v>
      </c>
      <c r="P116">
        <f t="shared" si="7"/>
        <v>0</v>
      </c>
      <c r="Q116">
        <f t="shared" si="9"/>
        <v>0</v>
      </c>
      <c r="R116">
        <f t="shared" si="10"/>
        <v>1</v>
      </c>
      <c r="S116">
        <v>1.6</v>
      </c>
      <c r="T116">
        <v>0</v>
      </c>
      <c r="U116">
        <v>0</v>
      </c>
      <c r="V116" s="5">
        <v>0</v>
      </c>
    </row>
    <row r="117" spans="1:22" x14ac:dyDescent="0.2">
      <c r="A117" t="s">
        <v>9</v>
      </c>
      <c r="B117" t="s">
        <v>29</v>
      </c>
      <c r="C117">
        <v>152</v>
      </c>
      <c r="D117">
        <v>130</v>
      </c>
      <c r="E117" s="1">
        <v>0.23599999999999999</v>
      </c>
      <c r="F117">
        <v>30</v>
      </c>
      <c r="G117" s="2">
        <v>20500000</v>
      </c>
      <c r="H117" s="7">
        <f t="shared" si="8"/>
        <v>25</v>
      </c>
      <c r="I117" t="s">
        <v>47</v>
      </c>
      <c r="J117">
        <f t="shared" ref="J117:P141" si="12">IF($I117=J$1,1,0)</f>
        <v>0</v>
      </c>
      <c r="K117">
        <f t="shared" si="12"/>
        <v>1</v>
      </c>
      <c r="L117">
        <f t="shared" si="12"/>
        <v>0</v>
      </c>
      <c r="M117">
        <f t="shared" si="12"/>
        <v>0</v>
      </c>
      <c r="N117">
        <f t="shared" si="12"/>
        <v>0</v>
      </c>
      <c r="O117">
        <f t="shared" si="12"/>
        <v>0</v>
      </c>
      <c r="P117">
        <f t="shared" si="12"/>
        <v>0</v>
      </c>
      <c r="Q117">
        <f t="shared" si="9"/>
        <v>0</v>
      </c>
      <c r="R117">
        <f t="shared" si="10"/>
        <v>0</v>
      </c>
      <c r="S117">
        <v>2.1</v>
      </c>
      <c r="T117">
        <v>0</v>
      </c>
      <c r="U117">
        <v>0</v>
      </c>
      <c r="V117" s="5">
        <v>0</v>
      </c>
    </row>
    <row r="118" spans="1:22" x14ac:dyDescent="0.2">
      <c r="A118" t="s">
        <v>21</v>
      </c>
      <c r="B118" t="s">
        <v>41</v>
      </c>
      <c r="C118">
        <v>120</v>
      </c>
      <c r="D118">
        <v>104</v>
      </c>
      <c r="E118" s="1">
        <v>0.26900000000000002</v>
      </c>
      <c r="F118">
        <v>20</v>
      </c>
      <c r="G118" s="2">
        <v>4040000</v>
      </c>
      <c r="H118" s="7">
        <f t="shared" si="8"/>
        <v>92</v>
      </c>
      <c r="I118" t="s">
        <v>47</v>
      </c>
      <c r="J118">
        <f t="shared" si="12"/>
        <v>0</v>
      </c>
      <c r="K118">
        <f t="shared" si="12"/>
        <v>1</v>
      </c>
      <c r="L118">
        <f t="shared" si="12"/>
        <v>0</v>
      </c>
      <c r="M118">
        <f t="shared" si="12"/>
        <v>0</v>
      </c>
      <c r="N118">
        <f t="shared" si="12"/>
        <v>0</v>
      </c>
      <c r="O118">
        <f t="shared" si="12"/>
        <v>0</v>
      </c>
      <c r="P118">
        <f t="shared" si="12"/>
        <v>0</v>
      </c>
      <c r="Q118">
        <f t="shared" si="9"/>
        <v>0</v>
      </c>
      <c r="R118">
        <f t="shared" si="10"/>
        <v>0</v>
      </c>
      <c r="S118">
        <v>3.7</v>
      </c>
      <c r="T118">
        <v>0</v>
      </c>
      <c r="U118">
        <v>0</v>
      </c>
      <c r="V118" s="5">
        <v>0</v>
      </c>
    </row>
    <row r="119" spans="1:22" x14ac:dyDescent="0.2">
      <c r="A119" t="s">
        <v>152</v>
      </c>
      <c r="B119" t="s">
        <v>86</v>
      </c>
      <c r="C119">
        <v>145</v>
      </c>
      <c r="D119">
        <v>155</v>
      </c>
      <c r="E119" s="1">
        <v>0.28499999999999998</v>
      </c>
      <c r="F119">
        <v>27</v>
      </c>
      <c r="G119" s="2">
        <v>17000000</v>
      </c>
      <c r="H119" s="7">
        <f t="shared" si="8"/>
        <v>36</v>
      </c>
      <c r="I119" t="s">
        <v>186</v>
      </c>
      <c r="J119">
        <f t="shared" si="12"/>
        <v>1</v>
      </c>
      <c r="K119">
        <f t="shared" si="12"/>
        <v>0</v>
      </c>
      <c r="L119">
        <f t="shared" si="12"/>
        <v>0</v>
      </c>
      <c r="M119">
        <f t="shared" si="12"/>
        <v>0</v>
      </c>
      <c r="N119">
        <f t="shared" si="12"/>
        <v>0</v>
      </c>
      <c r="O119">
        <f t="shared" si="12"/>
        <v>0</v>
      </c>
      <c r="P119">
        <f t="shared" si="12"/>
        <v>0</v>
      </c>
      <c r="Q119">
        <f t="shared" si="9"/>
        <v>0</v>
      </c>
      <c r="R119">
        <f t="shared" si="10"/>
        <v>0</v>
      </c>
      <c r="S119">
        <v>3.9</v>
      </c>
      <c r="T119">
        <v>0</v>
      </c>
      <c r="U119">
        <v>0</v>
      </c>
      <c r="V119" s="5">
        <v>0</v>
      </c>
    </row>
    <row r="120" spans="1:22" x14ac:dyDescent="0.2">
      <c r="A120" t="s">
        <v>19</v>
      </c>
      <c r="B120" t="s">
        <v>39</v>
      </c>
      <c r="C120">
        <v>144</v>
      </c>
      <c r="D120">
        <v>133</v>
      </c>
      <c r="E120" s="1">
        <v>0.27700000000000002</v>
      </c>
      <c r="F120">
        <v>31</v>
      </c>
      <c r="G120" s="2">
        <v>760000</v>
      </c>
      <c r="H120" s="7">
        <f t="shared" si="8"/>
        <v>98</v>
      </c>
      <c r="I120" t="s">
        <v>47</v>
      </c>
      <c r="J120">
        <f t="shared" si="12"/>
        <v>0</v>
      </c>
      <c r="K120">
        <f t="shared" si="12"/>
        <v>1</v>
      </c>
      <c r="L120">
        <f t="shared" si="12"/>
        <v>0</v>
      </c>
      <c r="M120">
        <f t="shared" si="12"/>
        <v>0</v>
      </c>
      <c r="N120">
        <f t="shared" si="12"/>
        <v>0</v>
      </c>
      <c r="O120">
        <f t="shared" si="12"/>
        <v>0</v>
      </c>
      <c r="P120">
        <f t="shared" si="12"/>
        <v>0</v>
      </c>
      <c r="Q120">
        <f t="shared" si="9"/>
        <v>0</v>
      </c>
      <c r="R120">
        <f t="shared" si="10"/>
        <v>0</v>
      </c>
      <c r="S120">
        <v>3.3</v>
      </c>
      <c r="T120">
        <v>0</v>
      </c>
      <c r="U120">
        <v>1</v>
      </c>
      <c r="V120" s="5">
        <v>0</v>
      </c>
    </row>
    <row r="121" spans="1:22" x14ac:dyDescent="0.2">
      <c r="A121" t="s">
        <v>122</v>
      </c>
      <c r="B121" t="s">
        <v>28</v>
      </c>
      <c r="C121">
        <v>155</v>
      </c>
      <c r="D121">
        <v>180</v>
      </c>
      <c r="E121" s="1">
        <v>0.30299999999999999</v>
      </c>
      <c r="F121">
        <v>44</v>
      </c>
      <c r="G121" s="2">
        <v>70000000</v>
      </c>
      <c r="H121" s="7">
        <f t="shared" si="8"/>
        <v>1</v>
      </c>
      <c r="I121" t="s">
        <v>141</v>
      </c>
      <c r="J121">
        <f t="shared" si="12"/>
        <v>0</v>
      </c>
      <c r="K121">
        <f t="shared" si="12"/>
        <v>0</v>
      </c>
      <c r="L121">
        <f t="shared" si="12"/>
        <v>0</v>
      </c>
      <c r="M121">
        <f t="shared" si="12"/>
        <v>0</v>
      </c>
      <c r="N121">
        <f t="shared" si="12"/>
        <v>0</v>
      </c>
      <c r="O121">
        <f t="shared" si="12"/>
        <v>0</v>
      </c>
      <c r="P121">
        <f t="shared" si="12"/>
        <v>1</v>
      </c>
      <c r="Q121">
        <f t="shared" si="9"/>
        <v>0</v>
      </c>
      <c r="R121">
        <f t="shared" si="10"/>
        <v>0</v>
      </c>
      <c r="S121">
        <v>9.5</v>
      </c>
      <c r="T121">
        <v>0</v>
      </c>
      <c r="U121">
        <v>0</v>
      </c>
      <c r="V121" s="5">
        <v>0</v>
      </c>
    </row>
    <row r="122" spans="1:22" x14ac:dyDescent="0.2">
      <c r="A122" t="s">
        <v>56</v>
      </c>
      <c r="B122" t="s">
        <v>57</v>
      </c>
      <c r="C122">
        <v>149</v>
      </c>
      <c r="D122">
        <v>138</v>
      </c>
      <c r="E122" s="1">
        <v>0.246</v>
      </c>
      <c r="F122">
        <v>29</v>
      </c>
      <c r="G122" s="2">
        <v>760000</v>
      </c>
      <c r="H122" s="7">
        <f t="shared" si="8"/>
        <v>98</v>
      </c>
      <c r="I122" t="s">
        <v>76</v>
      </c>
      <c r="J122">
        <f t="shared" si="12"/>
        <v>0</v>
      </c>
      <c r="K122">
        <f t="shared" si="12"/>
        <v>0</v>
      </c>
      <c r="L122">
        <f t="shared" si="12"/>
        <v>1</v>
      </c>
      <c r="M122">
        <f t="shared" si="12"/>
        <v>0</v>
      </c>
      <c r="N122">
        <f t="shared" si="12"/>
        <v>0</v>
      </c>
      <c r="O122">
        <f t="shared" si="12"/>
        <v>0</v>
      </c>
      <c r="P122">
        <f t="shared" si="12"/>
        <v>0</v>
      </c>
      <c r="Q122">
        <f t="shared" si="9"/>
        <v>0</v>
      </c>
      <c r="R122">
        <f t="shared" si="10"/>
        <v>1</v>
      </c>
      <c r="S122">
        <v>2.5</v>
      </c>
      <c r="T122">
        <v>0</v>
      </c>
      <c r="U122">
        <v>1</v>
      </c>
      <c r="V122" s="5">
        <v>0</v>
      </c>
    </row>
    <row r="123" spans="1:22" x14ac:dyDescent="0.2">
      <c r="A123" t="s">
        <v>160</v>
      </c>
      <c r="B123" t="s">
        <v>43</v>
      </c>
      <c r="C123">
        <v>135</v>
      </c>
      <c r="D123">
        <v>132</v>
      </c>
      <c r="E123" s="1">
        <v>0.26500000000000001</v>
      </c>
      <c r="F123">
        <v>14</v>
      </c>
      <c r="G123" s="2">
        <v>19500000</v>
      </c>
      <c r="H123" s="7">
        <f t="shared" si="8"/>
        <v>31</v>
      </c>
      <c r="I123" t="s">
        <v>186</v>
      </c>
      <c r="J123">
        <f t="shared" si="12"/>
        <v>1</v>
      </c>
      <c r="K123">
        <f t="shared" si="12"/>
        <v>0</v>
      </c>
      <c r="L123">
        <f t="shared" si="12"/>
        <v>0</v>
      </c>
      <c r="M123">
        <f t="shared" si="12"/>
        <v>0</v>
      </c>
      <c r="N123">
        <f t="shared" si="12"/>
        <v>0</v>
      </c>
      <c r="O123">
        <f t="shared" si="12"/>
        <v>0</v>
      </c>
      <c r="P123">
        <f t="shared" si="12"/>
        <v>0</v>
      </c>
      <c r="Q123">
        <f t="shared" si="9"/>
        <v>0</v>
      </c>
      <c r="R123">
        <f t="shared" si="10"/>
        <v>0</v>
      </c>
      <c r="S123">
        <v>1.6</v>
      </c>
      <c r="T123">
        <v>0</v>
      </c>
      <c r="U123">
        <v>0</v>
      </c>
      <c r="V123" s="5">
        <v>0</v>
      </c>
    </row>
    <row r="124" spans="1:22" x14ac:dyDescent="0.2">
      <c r="A124" t="s">
        <v>178</v>
      </c>
      <c r="B124" t="s">
        <v>38</v>
      </c>
      <c r="C124">
        <v>153</v>
      </c>
      <c r="D124">
        <v>182</v>
      </c>
      <c r="E124" s="1">
        <v>0.30399999999999999</v>
      </c>
      <c r="F124">
        <v>11</v>
      </c>
      <c r="G124" s="2">
        <v>760000</v>
      </c>
      <c r="H124" s="7">
        <f t="shared" si="8"/>
        <v>98</v>
      </c>
      <c r="I124" t="s">
        <v>186</v>
      </c>
      <c r="J124">
        <f t="shared" si="12"/>
        <v>1</v>
      </c>
      <c r="K124">
        <f t="shared" si="12"/>
        <v>0</v>
      </c>
      <c r="L124">
        <f t="shared" si="12"/>
        <v>0</v>
      </c>
      <c r="M124">
        <f t="shared" si="12"/>
        <v>0</v>
      </c>
      <c r="N124">
        <f t="shared" si="12"/>
        <v>0</v>
      </c>
      <c r="O124">
        <f t="shared" si="12"/>
        <v>0</v>
      </c>
      <c r="P124">
        <f t="shared" si="12"/>
        <v>0</v>
      </c>
      <c r="Q124">
        <f t="shared" si="9"/>
        <v>0</v>
      </c>
      <c r="R124">
        <f t="shared" si="10"/>
        <v>0</v>
      </c>
      <c r="S124">
        <v>4.4000000000000004</v>
      </c>
      <c r="T124">
        <v>0</v>
      </c>
      <c r="U124">
        <v>0</v>
      </c>
      <c r="V124" s="5">
        <v>0</v>
      </c>
    </row>
    <row r="125" spans="1:22" x14ac:dyDescent="0.2">
      <c r="A125" t="s">
        <v>173</v>
      </c>
      <c r="B125" t="s">
        <v>96</v>
      </c>
      <c r="C125">
        <v>145</v>
      </c>
      <c r="D125">
        <v>142</v>
      </c>
      <c r="E125" s="1">
        <v>0.26400000000000001</v>
      </c>
      <c r="F125">
        <v>20</v>
      </c>
      <c r="G125" s="2">
        <v>4700000</v>
      </c>
      <c r="H125" s="7">
        <f t="shared" si="8"/>
        <v>90</v>
      </c>
      <c r="I125" t="s">
        <v>186</v>
      </c>
      <c r="J125">
        <f t="shared" si="12"/>
        <v>1</v>
      </c>
      <c r="K125">
        <f t="shared" si="12"/>
        <v>0</v>
      </c>
      <c r="L125">
        <f t="shared" si="12"/>
        <v>0</v>
      </c>
      <c r="M125">
        <f t="shared" si="12"/>
        <v>0</v>
      </c>
      <c r="N125">
        <f t="shared" si="12"/>
        <v>0</v>
      </c>
      <c r="O125">
        <f t="shared" si="12"/>
        <v>0</v>
      </c>
      <c r="P125">
        <f t="shared" si="12"/>
        <v>0</v>
      </c>
      <c r="Q125">
        <f t="shared" si="9"/>
        <v>0</v>
      </c>
      <c r="R125">
        <f t="shared" si="10"/>
        <v>0</v>
      </c>
      <c r="S125">
        <v>2.5</v>
      </c>
      <c r="T125">
        <v>0</v>
      </c>
      <c r="U125">
        <v>0</v>
      </c>
      <c r="V125" s="5">
        <v>0</v>
      </c>
    </row>
    <row r="126" spans="1:22" x14ac:dyDescent="0.2">
      <c r="A126" t="s">
        <v>162</v>
      </c>
      <c r="B126" t="s">
        <v>28</v>
      </c>
      <c r="C126">
        <v>146</v>
      </c>
      <c r="D126">
        <v>148</v>
      </c>
      <c r="E126" s="1">
        <v>0.26400000000000001</v>
      </c>
      <c r="F126">
        <v>28</v>
      </c>
      <c r="G126" s="2">
        <v>14000000</v>
      </c>
      <c r="H126" s="7">
        <f t="shared" si="8"/>
        <v>44</v>
      </c>
      <c r="I126" t="s">
        <v>186</v>
      </c>
      <c r="J126">
        <f t="shared" si="12"/>
        <v>1</v>
      </c>
      <c r="K126">
        <f t="shared" si="12"/>
        <v>0</v>
      </c>
      <c r="L126">
        <f t="shared" si="12"/>
        <v>0</v>
      </c>
      <c r="M126">
        <f t="shared" si="12"/>
        <v>0</v>
      </c>
      <c r="N126">
        <f t="shared" si="12"/>
        <v>0</v>
      </c>
      <c r="O126">
        <f t="shared" si="12"/>
        <v>0</v>
      </c>
      <c r="P126">
        <f t="shared" si="12"/>
        <v>0</v>
      </c>
      <c r="Q126">
        <f t="shared" si="9"/>
        <v>0</v>
      </c>
      <c r="R126">
        <f t="shared" si="10"/>
        <v>0</v>
      </c>
      <c r="S126">
        <v>3.5</v>
      </c>
      <c r="T126">
        <v>0</v>
      </c>
      <c r="U126">
        <v>0</v>
      </c>
      <c r="V126" s="5">
        <v>0</v>
      </c>
    </row>
    <row r="127" spans="1:22" x14ac:dyDescent="0.2">
      <c r="A127" t="s">
        <v>114</v>
      </c>
      <c r="B127" t="s">
        <v>60</v>
      </c>
      <c r="C127">
        <v>134</v>
      </c>
      <c r="D127">
        <v>138</v>
      </c>
      <c r="E127" s="1">
        <v>0.27100000000000002</v>
      </c>
      <c r="F127">
        <v>9</v>
      </c>
      <c r="G127" s="2">
        <v>12000000</v>
      </c>
      <c r="H127" s="7">
        <f t="shared" si="8"/>
        <v>50</v>
      </c>
      <c r="I127" t="s">
        <v>121</v>
      </c>
      <c r="J127">
        <f t="shared" si="12"/>
        <v>0</v>
      </c>
      <c r="K127">
        <f t="shared" si="12"/>
        <v>0</v>
      </c>
      <c r="L127">
        <f t="shared" si="12"/>
        <v>0</v>
      </c>
      <c r="M127">
        <f t="shared" si="12"/>
        <v>0</v>
      </c>
      <c r="N127">
        <f t="shared" si="12"/>
        <v>0</v>
      </c>
      <c r="O127">
        <f t="shared" si="12"/>
        <v>1</v>
      </c>
      <c r="P127">
        <f t="shared" si="12"/>
        <v>0</v>
      </c>
      <c r="Q127">
        <f t="shared" si="9"/>
        <v>1</v>
      </c>
      <c r="R127">
        <f t="shared" si="10"/>
        <v>0</v>
      </c>
      <c r="S127">
        <v>1.2</v>
      </c>
      <c r="T127">
        <v>0</v>
      </c>
      <c r="U127">
        <v>0</v>
      </c>
      <c r="V127" s="5">
        <v>0</v>
      </c>
    </row>
    <row r="128" spans="1:22" x14ac:dyDescent="0.2">
      <c r="A128" t="s">
        <v>104</v>
      </c>
      <c r="B128" t="s">
        <v>27</v>
      </c>
      <c r="C128">
        <v>152</v>
      </c>
      <c r="D128">
        <v>178</v>
      </c>
      <c r="E128" s="1">
        <v>0.29299999999999998</v>
      </c>
      <c r="F128">
        <v>27</v>
      </c>
      <c r="G128" s="2">
        <v>30000000</v>
      </c>
      <c r="H128" s="7">
        <f t="shared" si="8"/>
        <v>10</v>
      </c>
      <c r="I128" t="s">
        <v>121</v>
      </c>
      <c r="J128">
        <f t="shared" si="12"/>
        <v>0</v>
      </c>
      <c r="K128">
        <f t="shared" si="12"/>
        <v>0</v>
      </c>
      <c r="L128">
        <f t="shared" si="12"/>
        <v>0</v>
      </c>
      <c r="M128">
        <f t="shared" si="12"/>
        <v>0</v>
      </c>
      <c r="N128">
        <f t="shared" si="12"/>
        <v>0</v>
      </c>
      <c r="O128">
        <f t="shared" si="12"/>
        <v>1</v>
      </c>
      <c r="P128">
        <f t="shared" si="12"/>
        <v>0</v>
      </c>
      <c r="Q128">
        <f t="shared" si="9"/>
        <v>1</v>
      </c>
      <c r="R128">
        <f t="shared" si="10"/>
        <v>0</v>
      </c>
      <c r="S128">
        <v>5</v>
      </c>
      <c r="T128">
        <v>0</v>
      </c>
      <c r="U128">
        <v>1</v>
      </c>
      <c r="V128" s="5">
        <v>0</v>
      </c>
    </row>
    <row r="129" spans="1:22" x14ac:dyDescent="0.2">
      <c r="A129" t="s">
        <v>176</v>
      </c>
      <c r="B129" t="s">
        <v>89</v>
      </c>
      <c r="C129">
        <v>138</v>
      </c>
      <c r="D129">
        <v>130</v>
      </c>
      <c r="E129" s="1">
        <v>0.255</v>
      </c>
      <c r="F129">
        <v>15</v>
      </c>
      <c r="G129" s="2">
        <v>4800000</v>
      </c>
      <c r="H129" s="7">
        <f t="shared" si="8"/>
        <v>87</v>
      </c>
      <c r="I129" t="s">
        <v>186</v>
      </c>
      <c r="J129">
        <f t="shared" si="12"/>
        <v>1</v>
      </c>
      <c r="K129">
        <f t="shared" si="12"/>
        <v>0</v>
      </c>
      <c r="L129">
        <f t="shared" si="12"/>
        <v>0</v>
      </c>
      <c r="M129">
        <f t="shared" si="12"/>
        <v>0</v>
      </c>
      <c r="N129">
        <f t="shared" si="12"/>
        <v>0</v>
      </c>
      <c r="O129">
        <f t="shared" si="12"/>
        <v>0</v>
      </c>
      <c r="P129">
        <f t="shared" si="12"/>
        <v>0</v>
      </c>
      <c r="Q129">
        <f t="shared" si="9"/>
        <v>0</v>
      </c>
      <c r="R129">
        <f t="shared" si="10"/>
        <v>0</v>
      </c>
      <c r="S129">
        <v>1.6</v>
      </c>
      <c r="T129">
        <v>0</v>
      </c>
      <c r="U129">
        <v>0</v>
      </c>
      <c r="V129" s="5">
        <v>0</v>
      </c>
    </row>
    <row r="130" spans="1:22" x14ac:dyDescent="0.2">
      <c r="A130" t="s">
        <v>116</v>
      </c>
      <c r="B130" t="s">
        <v>63</v>
      </c>
      <c r="C130">
        <v>120</v>
      </c>
      <c r="D130">
        <v>118</v>
      </c>
      <c r="E130" s="1">
        <v>0.246</v>
      </c>
      <c r="F130">
        <v>13</v>
      </c>
      <c r="G130" s="2">
        <v>23000000</v>
      </c>
      <c r="H130" s="7">
        <f t="shared" si="8"/>
        <v>23</v>
      </c>
      <c r="I130" t="s">
        <v>121</v>
      </c>
      <c r="J130">
        <f t="shared" si="12"/>
        <v>0</v>
      </c>
      <c r="K130">
        <f t="shared" si="12"/>
        <v>0</v>
      </c>
      <c r="L130">
        <f t="shared" si="12"/>
        <v>0</v>
      </c>
      <c r="M130">
        <f t="shared" si="12"/>
        <v>0</v>
      </c>
      <c r="N130">
        <f t="shared" si="12"/>
        <v>0</v>
      </c>
      <c r="O130">
        <f t="shared" si="12"/>
        <v>1</v>
      </c>
      <c r="P130">
        <f t="shared" si="12"/>
        <v>0</v>
      </c>
      <c r="Q130">
        <f t="shared" si="9"/>
        <v>1</v>
      </c>
      <c r="R130">
        <f t="shared" si="10"/>
        <v>0</v>
      </c>
      <c r="S130">
        <v>2</v>
      </c>
      <c r="T130">
        <v>0</v>
      </c>
      <c r="U130">
        <v>0</v>
      </c>
      <c r="V130" s="5">
        <v>0</v>
      </c>
    </row>
    <row r="131" spans="1:22" x14ac:dyDescent="0.2">
      <c r="A131" t="s">
        <v>62</v>
      </c>
      <c r="B131" t="s">
        <v>63</v>
      </c>
      <c r="C131">
        <v>136</v>
      </c>
      <c r="D131">
        <v>129</v>
      </c>
      <c r="E131" s="1">
        <v>0.26100000000000001</v>
      </c>
      <c r="F131">
        <v>25</v>
      </c>
      <c r="G131" s="2">
        <v>760000</v>
      </c>
      <c r="H131" s="7">
        <f t="shared" ref="H131:H141" si="13">_xlfn.RANK.EQ(G131,$G$2:$G$141,0)</f>
        <v>98</v>
      </c>
      <c r="I131" t="s">
        <v>76</v>
      </c>
      <c r="J131">
        <f t="shared" si="12"/>
        <v>0</v>
      </c>
      <c r="K131">
        <f t="shared" si="12"/>
        <v>0</v>
      </c>
      <c r="L131">
        <f t="shared" si="12"/>
        <v>1</v>
      </c>
      <c r="M131">
        <f t="shared" si="12"/>
        <v>0</v>
      </c>
      <c r="N131">
        <f t="shared" si="12"/>
        <v>0</v>
      </c>
      <c r="O131">
        <f t="shared" si="12"/>
        <v>0</v>
      </c>
      <c r="P131">
        <f t="shared" si="12"/>
        <v>0</v>
      </c>
      <c r="Q131">
        <f t="shared" ref="Q131:Q141" si="14">IF(OR(I131=O$1,I131=M$1),1,0)</f>
        <v>0</v>
      </c>
      <c r="R131">
        <f t="shared" ref="R131:R141" si="15">IF(OR(I131=N$1,I131=L$1),1,0)</f>
        <v>1</v>
      </c>
      <c r="S131">
        <v>2.8</v>
      </c>
      <c r="T131">
        <v>0</v>
      </c>
      <c r="U131">
        <v>1</v>
      </c>
      <c r="V131" s="5">
        <v>0</v>
      </c>
    </row>
    <row r="132" spans="1:22" x14ac:dyDescent="0.2">
      <c r="A132" t="s">
        <v>71</v>
      </c>
      <c r="B132" t="s">
        <v>30</v>
      </c>
      <c r="C132">
        <v>142</v>
      </c>
      <c r="D132">
        <v>136</v>
      </c>
      <c r="E132" s="1">
        <v>0.26200000000000001</v>
      </c>
      <c r="F132">
        <v>16</v>
      </c>
      <c r="G132" s="2">
        <v>760000</v>
      </c>
      <c r="H132" s="7">
        <f t="shared" si="13"/>
        <v>98</v>
      </c>
      <c r="I132" t="s">
        <v>76</v>
      </c>
      <c r="J132">
        <f t="shared" si="12"/>
        <v>0</v>
      </c>
      <c r="K132">
        <f t="shared" si="12"/>
        <v>0</v>
      </c>
      <c r="L132">
        <f t="shared" si="12"/>
        <v>1</v>
      </c>
      <c r="M132">
        <f t="shared" si="12"/>
        <v>0</v>
      </c>
      <c r="N132">
        <f t="shared" si="12"/>
        <v>0</v>
      </c>
      <c r="O132">
        <f t="shared" si="12"/>
        <v>0</v>
      </c>
      <c r="P132">
        <f t="shared" si="12"/>
        <v>0</v>
      </c>
      <c r="Q132">
        <f t="shared" si="14"/>
        <v>0</v>
      </c>
      <c r="R132">
        <f t="shared" si="15"/>
        <v>1</v>
      </c>
      <c r="S132">
        <v>1.9</v>
      </c>
      <c r="T132">
        <v>0</v>
      </c>
      <c r="U132">
        <v>0</v>
      </c>
      <c r="V132" s="5">
        <v>0</v>
      </c>
    </row>
    <row r="133" spans="1:22" x14ac:dyDescent="0.2">
      <c r="A133" t="s">
        <v>22</v>
      </c>
      <c r="B133" t="s">
        <v>42</v>
      </c>
      <c r="C133">
        <v>142</v>
      </c>
      <c r="D133">
        <v>132</v>
      </c>
      <c r="E133" s="1">
        <v>0.26400000000000001</v>
      </c>
      <c r="F133">
        <v>12</v>
      </c>
      <c r="G133" s="2">
        <v>760000</v>
      </c>
      <c r="H133" s="7">
        <f t="shared" si="13"/>
        <v>98</v>
      </c>
      <c r="I133" t="s">
        <v>47</v>
      </c>
      <c r="J133">
        <f t="shared" si="12"/>
        <v>0</v>
      </c>
      <c r="K133">
        <f t="shared" si="12"/>
        <v>1</v>
      </c>
      <c r="L133">
        <f t="shared" si="12"/>
        <v>0</v>
      </c>
      <c r="M133">
        <f t="shared" si="12"/>
        <v>0</v>
      </c>
      <c r="N133">
        <f t="shared" si="12"/>
        <v>0</v>
      </c>
      <c r="O133">
        <f t="shared" si="12"/>
        <v>0</v>
      </c>
      <c r="P133">
        <f t="shared" si="12"/>
        <v>0</v>
      </c>
      <c r="Q133">
        <f t="shared" si="14"/>
        <v>0</v>
      </c>
      <c r="R133">
        <f t="shared" si="15"/>
        <v>0</v>
      </c>
      <c r="S133">
        <v>1.9</v>
      </c>
      <c r="T133">
        <v>0</v>
      </c>
      <c r="U133">
        <v>1</v>
      </c>
      <c r="V133" s="5">
        <v>0</v>
      </c>
    </row>
    <row r="134" spans="1:22" x14ac:dyDescent="0.2">
      <c r="A134" t="s">
        <v>49</v>
      </c>
      <c r="B134" t="s">
        <v>37</v>
      </c>
      <c r="C134">
        <v>153</v>
      </c>
      <c r="D134">
        <v>165</v>
      </c>
      <c r="E134" s="1">
        <v>0.28100000000000003</v>
      </c>
      <c r="F134">
        <v>33</v>
      </c>
      <c r="G134" s="2">
        <v>19250000</v>
      </c>
      <c r="H134" s="7">
        <f t="shared" si="13"/>
        <v>33</v>
      </c>
      <c r="I134" t="s">
        <v>76</v>
      </c>
      <c r="J134">
        <f t="shared" si="12"/>
        <v>0</v>
      </c>
      <c r="K134">
        <f t="shared" si="12"/>
        <v>0</v>
      </c>
      <c r="L134">
        <f t="shared" si="12"/>
        <v>1</v>
      </c>
      <c r="M134">
        <f t="shared" si="12"/>
        <v>0</v>
      </c>
      <c r="N134">
        <f t="shared" si="12"/>
        <v>0</v>
      </c>
      <c r="O134">
        <f t="shared" si="12"/>
        <v>0</v>
      </c>
      <c r="P134">
        <f t="shared" si="12"/>
        <v>0</v>
      </c>
      <c r="Q134">
        <f t="shared" si="14"/>
        <v>0</v>
      </c>
      <c r="R134">
        <f t="shared" si="15"/>
        <v>1</v>
      </c>
      <c r="S134">
        <v>3.8</v>
      </c>
      <c r="T134">
        <v>1</v>
      </c>
      <c r="U134">
        <v>0</v>
      </c>
      <c r="V134" s="5">
        <v>1</v>
      </c>
    </row>
    <row r="135" spans="1:22" x14ac:dyDescent="0.2">
      <c r="A135" t="s">
        <v>92</v>
      </c>
      <c r="B135" t="s">
        <v>27</v>
      </c>
      <c r="C135">
        <v>136</v>
      </c>
      <c r="D135">
        <v>128</v>
      </c>
      <c r="E135" s="1">
        <v>0.252</v>
      </c>
      <c r="F135">
        <v>10</v>
      </c>
      <c r="G135" s="2">
        <v>8000000</v>
      </c>
      <c r="H135" s="7">
        <f t="shared" si="13"/>
        <v>73</v>
      </c>
      <c r="I135" t="s">
        <v>100</v>
      </c>
      <c r="J135">
        <f t="shared" si="12"/>
        <v>0</v>
      </c>
      <c r="K135">
        <f t="shared" si="12"/>
        <v>0</v>
      </c>
      <c r="L135">
        <f t="shared" si="12"/>
        <v>0</v>
      </c>
      <c r="M135">
        <f t="shared" si="12"/>
        <v>1</v>
      </c>
      <c r="N135">
        <f t="shared" si="12"/>
        <v>0</v>
      </c>
      <c r="O135">
        <f t="shared" si="12"/>
        <v>0</v>
      </c>
      <c r="P135">
        <f t="shared" si="12"/>
        <v>0</v>
      </c>
      <c r="Q135">
        <f t="shared" si="14"/>
        <v>1</v>
      </c>
      <c r="R135">
        <f t="shared" si="15"/>
        <v>0</v>
      </c>
      <c r="S135">
        <v>1.8</v>
      </c>
      <c r="T135">
        <v>0</v>
      </c>
      <c r="U135">
        <v>0</v>
      </c>
      <c r="V135" s="5">
        <v>0</v>
      </c>
    </row>
    <row r="136" spans="1:22" x14ac:dyDescent="0.2">
      <c r="A136" t="s">
        <v>8</v>
      </c>
      <c r="B136" t="s">
        <v>28</v>
      </c>
      <c r="C136">
        <v>140</v>
      </c>
      <c r="D136">
        <v>158</v>
      </c>
      <c r="E136" s="1">
        <v>0.29599999999999999</v>
      </c>
      <c r="F136">
        <v>17</v>
      </c>
      <c r="G136" s="2">
        <v>12927716</v>
      </c>
      <c r="H136" s="7">
        <f t="shared" si="13"/>
        <v>48</v>
      </c>
      <c r="I136" t="s">
        <v>47</v>
      </c>
      <c r="J136">
        <f t="shared" si="12"/>
        <v>0</v>
      </c>
      <c r="K136">
        <f t="shared" si="12"/>
        <v>1</v>
      </c>
      <c r="L136">
        <f t="shared" si="12"/>
        <v>0</v>
      </c>
      <c r="M136">
        <f t="shared" si="12"/>
        <v>0</v>
      </c>
      <c r="N136">
        <f t="shared" si="12"/>
        <v>0</v>
      </c>
      <c r="O136">
        <f t="shared" si="12"/>
        <v>0</v>
      </c>
      <c r="P136">
        <f t="shared" si="12"/>
        <v>0</v>
      </c>
      <c r="Q136">
        <f t="shared" si="14"/>
        <v>0</v>
      </c>
      <c r="R136">
        <f t="shared" si="15"/>
        <v>0</v>
      </c>
      <c r="S136">
        <v>4.8</v>
      </c>
      <c r="T136">
        <v>0</v>
      </c>
      <c r="U136">
        <v>1</v>
      </c>
      <c r="V136" s="5">
        <v>0</v>
      </c>
    </row>
    <row r="137" spans="1:22" x14ac:dyDescent="0.2">
      <c r="A137" t="s">
        <v>12</v>
      </c>
      <c r="B137" t="s">
        <v>32</v>
      </c>
      <c r="C137">
        <v>151</v>
      </c>
      <c r="D137">
        <v>160</v>
      </c>
      <c r="E137" s="1">
        <v>0.28799999999999998</v>
      </c>
      <c r="F137">
        <v>17</v>
      </c>
      <c r="G137" s="2">
        <v>760000</v>
      </c>
      <c r="H137" s="7">
        <f t="shared" si="13"/>
        <v>98</v>
      </c>
      <c r="I137" t="s">
        <v>47</v>
      </c>
      <c r="J137">
        <f t="shared" si="12"/>
        <v>0</v>
      </c>
      <c r="K137">
        <f t="shared" si="12"/>
        <v>1</v>
      </c>
      <c r="L137">
        <f t="shared" si="12"/>
        <v>0</v>
      </c>
      <c r="M137">
        <f t="shared" si="12"/>
        <v>0</v>
      </c>
      <c r="N137">
        <f t="shared" si="12"/>
        <v>0</v>
      </c>
      <c r="O137">
        <f t="shared" si="12"/>
        <v>0</v>
      </c>
      <c r="P137">
        <f t="shared" si="12"/>
        <v>0</v>
      </c>
      <c r="Q137">
        <f t="shared" si="14"/>
        <v>0</v>
      </c>
      <c r="R137">
        <f t="shared" si="15"/>
        <v>0</v>
      </c>
      <c r="S137">
        <v>4.7</v>
      </c>
      <c r="T137">
        <v>0</v>
      </c>
      <c r="U137">
        <v>0</v>
      </c>
      <c r="V137" s="5">
        <v>0</v>
      </c>
    </row>
    <row r="138" spans="1:22" x14ac:dyDescent="0.2">
      <c r="A138" t="s">
        <v>107</v>
      </c>
      <c r="B138" t="s">
        <v>32</v>
      </c>
      <c r="C138">
        <v>152</v>
      </c>
      <c r="D138">
        <v>147</v>
      </c>
      <c r="E138" s="1">
        <v>0.254</v>
      </c>
      <c r="F138">
        <v>24</v>
      </c>
      <c r="G138" s="2">
        <v>8750000</v>
      </c>
      <c r="H138" s="7">
        <f t="shared" si="13"/>
        <v>69</v>
      </c>
      <c r="I138" t="s">
        <v>121</v>
      </c>
      <c r="J138">
        <f t="shared" si="12"/>
        <v>0</v>
      </c>
      <c r="K138">
        <f t="shared" si="12"/>
        <v>0</v>
      </c>
      <c r="L138">
        <f t="shared" si="12"/>
        <v>0</v>
      </c>
      <c r="M138">
        <f t="shared" si="12"/>
        <v>0</v>
      </c>
      <c r="N138">
        <f t="shared" si="12"/>
        <v>0</v>
      </c>
      <c r="O138">
        <f t="shared" si="12"/>
        <v>1</v>
      </c>
      <c r="P138">
        <f t="shared" si="12"/>
        <v>0</v>
      </c>
      <c r="Q138">
        <f t="shared" si="14"/>
        <v>1</v>
      </c>
      <c r="R138">
        <f t="shared" si="15"/>
        <v>0</v>
      </c>
      <c r="S138">
        <v>3.8</v>
      </c>
      <c r="T138">
        <v>0</v>
      </c>
      <c r="U138">
        <v>0</v>
      </c>
      <c r="V138" s="5">
        <v>0</v>
      </c>
    </row>
    <row r="139" spans="1:22" x14ac:dyDescent="0.2">
      <c r="A139" t="s">
        <v>109</v>
      </c>
      <c r="B139" t="s">
        <v>89</v>
      </c>
      <c r="C139">
        <v>150</v>
      </c>
      <c r="D139">
        <v>172</v>
      </c>
      <c r="E139" s="1">
        <v>0.28399999999999997</v>
      </c>
      <c r="F139">
        <v>21</v>
      </c>
      <c r="G139" s="2">
        <v>25000000</v>
      </c>
      <c r="H139" s="7">
        <f t="shared" si="13"/>
        <v>17</v>
      </c>
      <c r="I139" t="s">
        <v>121</v>
      </c>
      <c r="J139">
        <f t="shared" si="12"/>
        <v>0</v>
      </c>
      <c r="K139">
        <f t="shared" si="12"/>
        <v>0</v>
      </c>
      <c r="L139">
        <f t="shared" si="12"/>
        <v>0</v>
      </c>
      <c r="M139">
        <f t="shared" si="12"/>
        <v>0</v>
      </c>
      <c r="N139">
        <f t="shared" si="12"/>
        <v>0</v>
      </c>
      <c r="O139">
        <f t="shared" si="12"/>
        <v>1</v>
      </c>
      <c r="P139">
        <f t="shared" si="12"/>
        <v>0</v>
      </c>
      <c r="Q139">
        <f t="shared" si="14"/>
        <v>1</v>
      </c>
      <c r="R139">
        <f t="shared" si="15"/>
        <v>0</v>
      </c>
      <c r="S139">
        <v>4.0999999999999996</v>
      </c>
      <c r="T139">
        <v>0</v>
      </c>
      <c r="U139">
        <v>0</v>
      </c>
      <c r="V139" s="5">
        <v>0</v>
      </c>
    </row>
    <row r="140" spans="1:22" x14ac:dyDescent="0.2">
      <c r="A140" t="s">
        <v>16</v>
      </c>
      <c r="B140" t="s">
        <v>36</v>
      </c>
      <c r="C140">
        <v>145</v>
      </c>
      <c r="D140">
        <v>140</v>
      </c>
      <c r="E140" s="1">
        <v>0.25600000000000001</v>
      </c>
      <c r="F140">
        <v>20</v>
      </c>
      <c r="G140" s="2">
        <v>760000</v>
      </c>
      <c r="H140" s="7">
        <f t="shared" si="13"/>
        <v>98</v>
      </c>
      <c r="I140" t="s">
        <v>47</v>
      </c>
      <c r="J140">
        <f t="shared" si="12"/>
        <v>0</v>
      </c>
      <c r="K140">
        <f t="shared" si="12"/>
        <v>1</v>
      </c>
      <c r="L140">
        <f t="shared" si="12"/>
        <v>0</v>
      </c>
      <c r="M140">
        <f t="shared" si="12"/>
        <v>0</v>
      </c>
      <c r="N140">
        <f t="shared" si="12"/>
        <v>0</v>
      </c>
      <c r="O140">
        <f t="shared" si="12"/>
        <v>0</v>
      </c>
      <c r="P140">
        <f t="shared" si="12"/>
        <v>0</v>
      </c>
      <c r="Q140">
        <f t="shared" si="14"/>
        <v>0</v>
      </c>
      <c r="R140">
        <f t="shared" si="15"/>
        <v>0</v>
      </c>
      <c r="S140">
        <v>2.9</v>
      </c>
      <c r="T140">
        <v>0</v>
      </c>
      <c r="U140">
        <v>0</v>
      </c>
      <c r="V140" s="5">
        <v>0</v>
      </c>
    </row>
    <row r="141" spans="1:22" x14ac:dyDescent="0.2">
      <c r="A141" t="s">
        <v>124</v>
      </c>
      <c r="B141" t="s">
        <v>36</v>
      </c>
      <c r="C141">
        <v>148</v>
      </c>
      <c r="D141">
        <v>165</v>
      </c>
      <c r="E141" s="1">
        <v>0.28899999999999998</v>
      </c>
      <c r="F141">
        <v>39</v>
      </c>
      <c r="G141" s="2">
        <v>19500000</v>
      </c>
      <c r="H141" s="7">
        <f t="shared" si="13"/>
        <v>31</v>
      </c>
      <c r="I141" t="s">
        <v>186</v>
      </c>
      <c r="J141">
        <f t="shared" si="12"/>
        <v>1</v>
      </c>
      <c r="K141">
        <f t="shared" si="12"/>
        <v>0</v>
      </c>
      <c r="L141">
        <f t="shared" si="12"/>
        <v>0</v>
      </c>
      <c r="M141">
        <f t="shared" si="12"/>
        <v>0</v>
      </c>
      <c r="N141">
        <f t="shared" si="12"/>
        <v>0</v>
      </c>
      <c r="O141">
        <f t="shared" si="12"/>
        <v>0</v>
      </c>
      <c r="P141">
        <f t="shared" si="12"/>
        <v>0</v>
      </c>
      <c r="Q141">
        <f t="shared" si="14"/>
        <v>0</v>
      </c>
      <c r="R141">
        <f t="shared" si="15"/>
        <v>0</v>
      </c>
      <c r="S141">
        <v>5.0999999999999996</v>
      </c>
      <c r="T141">
        <v>0</v>
      </c>
      <c r="U141">
        <v>0</v>
      </c>
      <c r="V141" s="5">
        <v>0</v>
      </c>
    </row>
    <row r="144" spans="1:22" x14ac:dyDescent="0.2">
      <c r="H144">
        <f>COUNTIFS(H2:H141,"&gt;=1",H2:H141,"&lt;=15")</f>
        <v>16</v>
      </c>
    </row>
    <row r="146" spans="8:8" x14ac:dyDescent="0.2">
      <c r="H146">
        <f>COUNTIF(H2:H141,10)</f>
        <v>2</v>
      </c>
    </row>
  </sheetData>
  <conditionalFormatting sqref="A2:A141">
    <cfRule type="expression" dxfId="6" priority="1">
      <formula>V2=1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CF2A-1535-7D4F-BB4E-016C025FB028}">
  <dimension ref="A1:H27"/>
  <sheetViews>
    <sheetView zoomScale="113" workbookViewId="0">
      <selection activeCell="D30" sqref="D30"/>
    </sheetView>
  </sheetViews>
  <sheetFormatPr baseColWidth="10" defaultRowHeight="15" x14ac:dyDescent="0.2"/>
  <cols>
    <col min="2" max="2" width="17.1640625" bestFit="1" customWidth="1"/>
    <col min="3" max="3" width="15.33203125" customWidth="1"/>
    <col min="4" max="4" width="21.5" bestFit="1" customWidth="1"/>
    <col min="7" max="7" width="11" customWidth="1"/>
  </cols>
  <sheetData>
    <row r="1" spans="1:8" x14ac:dyDescent="0.2">
      <c r="A1" s="11" t="s">
        <v>203</v>
      </c>
      <c r="B1" s="12" t="s">
        <v>0</v>
      </c>
      <c r="C1" s="12" t="s">
        <v>4</v>
      </c>
      <c r="D1" s="12" t="s">
        <v>204</v>
      </c>
      <c r="E1" s="12" t="s">
        <v>190</v>
      </c>
      <c r="F1" s="8" t="s">
        <v>205</v>
      </c>
    </row>
    <row r="2" spans="1:8" x14ac:dyDescent="0.2">
      <c r="A2" s="13">
        <v>1</v>
      </c>
      <c r="B2" t="str" cm="1">
        <f t="array" ref="B2:F16">_xlfn._xlws.FILTER(CHOOSE({1,2,3,4,5},'Player data_latest GRG'!A2:A141,'Player data_latest GRG'!E2:E141,'Player data_latest GRG'!G2:G141,'Player data_latest GRG'!I2:I141,'Player data_latest GRG'!H2:H141),'Player data_latest GRG'!V2:V141, "")</f>
        <v>Aaron Judge</v>
      </c>
      <c r="C2">
        <v>0.33100000000000002</v>
      </c>
      <c r="D2" s="9">
        <v>40000000</v>
      </c>
      <c r="E2" t="str">
        <v>Outfield</v>
      </c>
      <c r="F2" s="20">
        <v>2</v>
      </c>
      <c r="H2" t="s">
        <v>210</v>
      </c>
    </row>
    <row r="3" spans="1:8" x14ac:dyDescent="0.2">
      <c r="A3" s="13">
        <v>2</v>
      </c>
      <c r="B3" t="str">
        <v>Adley Rutschman</v>
      </c>
      <c r="C3">
        <v>0.27</v>
      </c>
      <c r="D3" s="9">
        <v>760000</v>
      </c>
      <c r="E3" t="str">
        <v>Catcher</v>
      </c>
      <c r="F3" s="14">
        <v>98</v>
      </c>
    </row>
    <row r="4" spans="1:8" x14ac:dyDescent="0.2">
      <c r="A4" s="13">
        <v>3</v>
      </c>
      <c r="B4" t="str">
        <v>Bobby Witt Jr.</v>
      </c>
      <c r="C4">
        <v>0.308</v>
      </c>
      <c r="D4" s="9">
        <v>760000</v>
      </c>
      <c r="E4" t="str">
        <v>Shortstop</v>
      </c>
      <c r="F4" s="14">
        <v>98</v>
      </c>
    </row>
    <row r="5" spans="1:8" x14ac:dyDescent="0.2">
      <c r="A5" s="13">
        <v>4</v>
      </c>
      <c r="B5" t="str">
        <v>Cal Raleigh</v>
      </c>
      <c r="C5">
        <v>0.247</v>
      </c>
      <c r="D5" s="9">
        <v>17500000</v>
      </c>
      <c r="E5" t="str">
        <v>Catcher</v>
      </c>
      <c r="F5" s="14">
        <v>35</v>
      </c>
    </row>
    <row r="6" spans="1:8" x14ac:dyDescent="0.2">
      <c r="A6" s="13">
        <v>5</v>
      </c>
      <c r="B6" t="str">
        <v>Corbin Carroll</v>
      </c>
      <c r="C6">
        <v>0.27800000000000002</v>
      </c>
      <c r="D6" s="9">
        <v>11100000</v>
      </c>
      <c r="E6" t="str">
        <v>Outfield</v>
      </c>
      <c r="F6" s="14">
        <v>60</v>
      </c>
    </row>
    <row r="7" spans="1:8" x14ac:dyDescent="0.2">
      <c r="A7" s="13">
        <v>6</v>
      </c>
      <c r="B7" t="str">
        <v>Edouard Julien</v>
      </c>
      <c r="C7">
        <v>0.25900000000000001</v>
      </c>
      <c r="D7" s="9">
        <v>760000</v>
      </c>
      <c r="E7" t="str">
        <v>Third Base</v>
      </c>
      <c r="F7" s="14">
        <v>98</v>
      </c>
    </row>
    <row r="8" spans="1:8" x14ac:dyDescent="0.2">
      <c r="A8" s="13">
        <v>7</v>
      </c>
      <c r="B8" t="str">
        <v>Elias Díaz</v>
      </c>
      <c r="C8">
        <v>0.28399999999999997</v>
      </c>
      <c r="D8" s="9">
        <v>6000000</v>
      </c>
      <c r="E8" t="str">
        <v>Catcher</v>
      </c>
      <c r="F8" s="14">
        <v>79</v>
      </c>
    </row>
    <row r="9" spans="1:8" x14ac:dyDescent="0.2">
      <c r="A9" s="13">
        <v>8</v>
      </c>
      <c r="B9" t="str">
        <v>Elly De La Cruz</v>
      </c>
      <c r="C9">
        <v>0.26900000000000002</v>
      </c>
      <c r="D9" s="9">
        <v>760000</v>
      </c>
      <c r="E9" t="str">
        <v>Shortstop</v>
      </c>
      <c r="F9" s="14">
        <v>98</v>
      </c>
    </row>
    <row r="10" spans="1:8" x14ac:dyDescent="0.2">
      <c r="A10" s="13">
        <v>9</v>
      </c>
      <c r="B10" t="str">
        <v>Freddie Freeman</v>
      </c>
      <c r="C10">
        <v>0.30399999999999999</v>
      </c>
      <c r="D10" s="9">
        <v>27000000</v>
      </c>
      <c r="E10" t="str">
        <v>First Base</v>
      </c>
      <c r="F10" s="14">
        <v>13</v>
      </c>
    </row>
    <row r="11" spans="1:8" x14ac:dyDescent="0.2">
      <c r="A11" s="13">
        <v>10</v>
      </c>
      <c r="B11" t="str">
        <v>Juan Soto</v>
      </c>
      <c r="C11">
        <v>0.307</v>
      </c>
      <c r="D11" s="9">
        <v>31000000</v>
      </c>
      <c r="E11" t="str">
        <v>Outfield</v>
      </c>
      <c r="F11" s="14">
        <v>9</v>
      </c>
    </row>
    <row r="12" spans="1:8" x14ac:dyDescent="0.2">
      <c r="A12" s="13">
        <v>11</v>
      </c>
      <c r="B12" t="str">
        <v>Julio Rodríguez</v>
      </c>
      <c r="C12">
        <v>0.29099999999999998</v>
      </c>
      <c r="D12" s="9">
        <v>12000000</v>
      </c>
      <c r="E12" t="str">
        <v>Outfield</v>
      </c>
      <c r="F12" s="14">
        <v>50</v>
      </c>
    </row>
    <row r="13" spans="1:8" x14ac:dyDescent="0.2">
      <c r="A13" s="13">
        <v>12</v>
      </c>
      <c r="B13" t="str">
        <v>Kyle Tucker</v>
      </c>
      <c r="C13">
        <v>0.28599999999999998</v>
      </c>
      <c r="D13" s="9">
        <v>12000000</v>
      </c>
      <c r="E13" t="str">
        <v>Outfield</v>
      </c>
      <c r="F13" s="14">
        <v>50</v>
      </c>
    </row>
    <row r="14" spans="1:8" x14ac:dyDescent="0.2">
      <c r="A14" s="13">
        <v>13</v>
      </c>
      <c r="B14" t="str">
        <v>Luis Arraez</v>
      </c>
      <c r="C14">
        <v>0.32900000000000001</v>
      </c>
      <c r="D14" s="9">
        <v>10000000</v>
      </c>
      <c r="E14" t="str">
        <v>Second Base</v>
      </c>
      <c r="F14" s="14">
        <v>64</v>
      </c>
    </row>
    <row r="15" spans="1:8" x14ac:dyDescent="0.2">
      <c r="A15" s="13">
        <v>14</v>
      </c>
      <c r="B15" t="str">
        <v>Ronald Acuña Jr.</v>
      </c>
      <c r="C15">
        <v>0.32400000000000001</v>
      </c>
      <c r="D15" s="9">
        <v>17000000</v>
      </c>
      <c r="E15" t="str">
        <v>Outfield</v>
      </c>
      <c r="F15" s="14">
        <v>36</v>
      </c>
    </row>
    <row r="16" spans="1:8" x14ac:dyDescent="0.2">
      <c r="A16" s="15">
        <v>15</v>
      </c>
      <c r="B16" s="16" t="str">
        <v>Vladimir Guerrero Jr.</v>
      </c>
      <c r="C16" s="16">
        <v>0.28100000000000003</v>
      </c>
      <c r="D16" s="17">
        <v>19250000</v>
      </c>
      <c r="E16" s="16" t="str">
        <v>First Base</v>
      </c>
      <c r="F16" s="18">
        <v>33</v>
      </c>
    </row>
    <row r="17" spans="2:7" ht="16" thickBot="1" x14ac:dyDescent="0.25">
      <c r="F17" s="19"/>
    </row>
    <row r="18" spans="2:7" ht="15" customHeight="1" x14ac:dyDescent="0.2">
      <c r="B18" s="29" t="s">
        <v>206</v>
      </c>
      <c r="C18" s="30"/>
      <c r="D18" s="42">
        <f>'Player data_latest GRG'!Y7</f>
        <v>205890000</v>
      </c>
      <c r="F18" s="38" t="s">
        <v>207</v>
      </c>
      <c r="G18" s="40">
        <f>'Player data_latest GRG'!Y4</f>
        <v>3</v>
      </c>
    </row>
    <row r="19" spans="2:7" ht="15" customHeight="1" thickBot="1" x14ac:dyDescent="0.25">
      <c r="B19" s="31"/>
      <c r="C19" s="32"/>
      <c r="D19" s="43"/>
      <c r="F19" s="39"/>
      <c r="G19" s="41"/>
    </row>
    <row r="20" spans="2:7" ht="15" customHeight="1" thickBot="1" x14ac:dyDescent="0.25">
      <c r="B20" s="31"/>
      <c r="C20" s="32"/>
      <c r="D20" s="43"/>
      <c r="F20" s="23"/>
      <c r="G20" s="24"/>
    </row>
    <row r="21" spans="2:7" ht="16" customHeight="1" thickBot="1" x14ac:dyDescent="0.25">
      <c r="B21" s="33"/>
      <c r="C21" s="34"/>
      <c r="D21" s="44"/>
      <c r="F21" s="38" t="s">
        <v>208</v>
      </c>
      <c r="G21" s="40">
        <f>'Player data_latest GRG'!Y11</f>
        <v>6</v>
      </c>
    </row>
    <row r="22" spans="2:7" ht="16" customHeight="1" thickBot="1" x14ac:dyDescent="0.25">
      <c r="F22" s="39"/>
      <c r="G22" s="41"/>
    </row>
    <row r="23" spans="2:7" ht="15" customHeight="1" thickBot="1" x14ac:dyDescent="0.25">
      <c r="B23" s="29" t="s">
        <v>192</v>
      </c>
      <c r="C23" s="30"/>
      <c r="D23" s="35">
        <f>'Player data_latest GRG'!Y8</f>
        <v>84.999999999999986</v>
      </c>
    </row>
    <row r="24" spans="2:7" ht="15" customHeight="1" x14ac:dyDescent="0.2">
      <c r="B24" s="31"/>
      <c r="C24" s="32"/>
      <c r="D24" s="36"/>
      <c r="E24" s="25"/>
      <c r="F24" s="38" t="s">
        <v>209</v>
      </c>
      <c r="G24" s="40">
        <f>'Player data_latest GRG'!Y14</f>
        <v>3</v>
      </c>
    </row>
    <row r="25" spans="2:7" ht="15" customHeight="1" thickBot="1" x14ac:dyDescent="0.25">
      <c r="B25" s="31"/>
      <c r="C25" s="32"/>
      <c r="D25" s="36"/>
      <c r="F25" s="39"/>
      <c r="G25" s="41"/>
    </row>
    <row r="26" spans="2:7" ht="15" customHeight="1" thickBot="1" x14ac:dyDescent="0.25">
      <c r="B26" s="33"/>
      <c r="C26" s="34"/>
      <c r="D26" s="37"/>
      <c r="F26" s="23"/>
      <c r="G26" s="24"/>
    </row>
    <row r="27" spans="2:7" ht="16" customHeight="1" x14ac:dyDescent="0.2">
      <c r="B27" s="21"/>
      <c r="C27" s="21"/>
      <c r="D27" s="22"/>
    </row>
  </sheetData>
  <mergeCells count="10">
    <mergeCell ref="B23:C26"/>
    <mergeCell ref="D23:D26"/>
    <mergeCell ref="F24:F25"/>
    <mergeCell ref="G24:G25"/>
    <mergeCell ref="B18:C21"/>
    <mergeCell ref="D18:D21"/>
    <mergeCell ref="F18:F19"/>
    <mergeCell ref="G18:G19"/>
    <mergeCell ref="F21:F22"/>
    <mergeCell ref="G21:G22"/>
  </mergeCells>
  <conditionalFormatting sqref="B2:B16"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C2:C16">
    <cfRule type="cellIs" dxfId="5" priority="1" operator="greaterThanOrEqual">
      <formula>0.3</formula>
    </cfRule>
  </conditionalFormatting>
  <conditionalFormatting sqref="F2:F16">
    <cfRule type="cellIs" dxfId="4" priority="4" operator="lessThanOrEqual">
      <formula>15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C1C0-C728-9C48-B1DB-EFCA2C4D79C2}">
  <dimension ref="A1:H27"/>
  <sheetViews>
    <sheetView zoomScale="108" workbookViewId="0">
      <selection activeCell="C33" sqref="C33"/>
    </sheetView>
  </sheetViews>
  <sheetFormatPr baseColWidth="10" defaultRowHeight="15" x14ac:dyDescent="0.2"/>
  <cols>
    <col min="2" max="2" width="17.1640625" bestFit="1" customWidth="1"/>
    <col min="3" max="3" width="15.33203125" customWidth="1"/>
    <col min="4" max="4" width="21.83203125" bestFit="1" customWidth="1"/>
    <col min="7" max="7" width="11" customWidth="1"/>
  </cols>
  <sheetData>
    <row r="1" spans="1:8" x14ac:dyDescent="0.2">
      <c r="A1" s="11" t="s">
        <v>203</v>
      </c>
      <c r="B1" s="12" t="s">
        <v>0</v>
      </c>
      <c r="C1" s="12" t="s">
        <v>4</v>
      </c>
      <c r="D1" s="12" t="s">
        <v>204</v>
      </c>
      <c r="E1" s="12" t="s">
        <v>190</v>
      </c>
      <c r="F1" s="8" t="s">
        <v>205</v>
      </c>
    </row>
    <row r="2" spans="1:8" x14ac:dyDescent="0.2">
      <c r="A2" s="13">
        <v>1</v>
      </c>
      <c r="B2" t="str" cm="1">
        <f t="array" ref="B2:F16">_xlfn._xlws.FILTER(CHOOSE({1,2,3,4,5},'Player data - best team &lt; 2mil'!A2:A141,'Player data - best team &lt; 2mil'!E2:E141,'Player data - best team &lt; 2mil'!G2:G141,'Player data - best team &lt; 2mil'!I2:I141,'Player data - best team &lt; 2mil'!H2:H141),'Player data - best team &lt; 2mil'!V2:V141, "")</f>
        <v>Adley Rutschman</v>
      </c>
      <c r="C2">
        <v>0.27</v>
      </c>
      <c r="D2" s="9">
        <v>760000</v>
      </c>
      <c r="E2" t="str">
        <v>Catcher</v>
      </c>
      <c r="F2" s="20">
        <v>98</v>
      </c>
      <c r="H2" t="s">
        <v>211</v>
      </c>
    </row>
    <row r="3" spans="1:8" x14ac:dyDescent="0.2">
      <c r="A3" s="13">
        <v>2</v>
      </c>
      <c r="B3" t="str">
        <v>Anthony Volpe</v>
      </c>
      <c r="C3">
        <v>0.26200000000000001</v>
      </c>
      <c r="D3" s="9">
        <v>760000</v>
      </c>
      <c r="E3" t="str">
        <v>Shortstop</v>
      </c>
      <c r="F3" s="14">
        <v>98</v>
      </c>
    </row>
    <row r="4" spans="1:8" x14ac:dyDescent="0.2">
      <c r="A4" s="13">
        <v>3</v>
      </c>
      <c r="B4" t="str">
        <v>Bobby Witt Jr.</v>
      </c>
      <c r="C4">
        <v>0.308</v>
      </c>
      <c r="D4" s="9">
        <v>760000</v>
      </c>
      <c r="E4" t="str">
        <v>Shortstop</v>
      </c>
      <c r="F4" s="14">
        <v>98</v>
      </c>
    </row>
    <row r="5" spans="1:8" x14ac:dyDescent="0.2">
      <c r="A5" s="13">
        <v>4</v>
      </c>
      <c r="B5" t="str">
        <v>Brendan Donovan</v>
      </c>
      <c r="C5">
        <v>0.26200000000000001</v>
      </c>
      <c r="D5" s="9">
        <v>760000</v>
      </c>
      <c r="E5" t="str">
        <v>Second Base</v>
      </c>
      <c r="F5" s="14">
        <v>98</v>
      </c>
    </row>
    <row r="6" spans="1:8" x14ac:dyDescent="0.2">
      <c r="A6" s="13">
        <v>5</v>
      </c>
      <c r="B6" t="str">
        <v>Brenton Doyle</v>
      </c>
      <c r="C6">
        <v>0.25900000000000001</v>
      </c>
      <c r="D6" s="9">
        <v>760000</v>
      </c>
      <c r="E6" t="str">
        <v>Outfield</v>
      </c>
      <c r="F6" s="14">
        <v>98</v>
      </c>
    </row>
    <row r="7" spans="1:8" x14ac:dyDescent="0.2">
      <c r="A7" s="13">
        <v>6</v>
      </c>
      <c r="B7" t="str">
        <v>CJ Abrams</v>
      </c>
      <c r="C7">
        <v>0.26300000000000001</v>
      </c>
      <c r="D7" s="9">
        <v>760000</v>
      </c>
      <c r="E7" t="str">
        <v>Shortstop</v>
      </c>
      <c r="F7" s="14">
        <v>98</v>
      </c>
    </row>
    <row r="8" spans="1:8" x14ac:dyDescent="0.2">
      <c r="A8" s="13">
        <v>7</v>
      </c>
      <c r="B8" t="str">
        <v>Edouard Julien</v>
      </c>
      <c r="C8">
        <v>0.25900000000000001</v>
      </c>
      <c r="D8" s="9">
        <v>760000</v>
      </c>
      <c r="E8" t="str">
        <v>Third Base</v>
      </c>
      <c r="F8" s="14">
        <v>98</v>
      </c>
    </row>
    <row r="9" spans="1:8" x14ac:dyDescent="0.2">
      <c r="A9" s="13">
        <v>8</v>
      </c>
      <c r="B9" t="str">
        <v>Elly De La Cruz</v>
      </c>
      <c r="C9">
        <v>0.26900000000000002</v>
      </c>
      <c r="D9" s="9">
        <v>760000</v>
      </c>
      <c r="E9" t="str">
        <v>Shortstop</v>
      </c>
      <c r="F9" s="14">
        <v>98</v>
      </c>
    </row>
    <row r="10" spans="1:8" x14ac:dyDescent="0.2">
      <c r="A10" s="13">
        <v>9</v>
      </c>
      <c r="B10" t="str">
        <v>Gabriel Moreno</v>
      </c>
      <c r="C10">
        <v>0.28499999999999998</v>
      </c>
      <c r="D10" s="9">
        <v>760000</v>
      </c>
      <c r="E10" t="str">
        <v>Catcher</v>
      </c>
      <c r="F10" s="14">
        <v>98</v>
      </c>
    </row>
    <row r="11" spans="1:8" x14ac:dyDescent="0.2">
      <c r="A11" s="13">
        <v>10</v>
      </c>
      <c r="B11" t="str">
        <v>Jack Suwinski</v>
      </c>
      <c r="C11">
        <v>0.251</v>
      </c>
      <c r="D11" s="9">
        <v>760000</v>
      </c>
      <c r="E11" t="str">
        <v>Outfield</v>
      </c>
      <c r="F11" s="14">
        <v>98</v>
      </c>
    </row>
    <row r="12" spans="1:8" x14ac:dyDescent="0.2">
      <c r="A12" s="13">
        <v>11</v>
      </c>
      <c r="B12" t="str">
        <v>Jarred Kelenic</v>
      </c>
      <c r="C12">
        <v>0.26200000000000001</v>
      </c>
      <c r="D12" s="9">
        <v>760000</v>
      </c>
      <c r="E12" t="str">
        <v>Outfield</v>
      </c>
      <c r="F12" s="14">
        <v>98</v>
      </c>
    </row>
    <row r="13" spans="1:8" x14ac:dyDescent="0.2">
      <c r="A13" s="13">
        <v>12</v>
      </c>
      <c r="B13" t="str">
        <v>Spencer Torkelson</v>
      </c>
      <c r="C13">
        <v>0.246</v>
      </c>
      <c r="D13" s="9">
        <v>760000</v>
      </c>
      <c r="E13" t="str">
        <v>First Base</v>
      </c>
      <c r="F13" s="14">
        <v>98</v>
      </c>
    </row>
    <row r="14" spans="1:8" x14ac:dyDescent="0.2">
      <c r="A14" s="13">
        <v>13</v>
      </c>
      <c r="B14" t="str">
        <v>Steven Kwan</v>
      </c>
      <c r="C14">
        <v>0.30399999999999999</v>
      </c>
      <c r="D14" s="9">
        <v>760000</v>
      </c>
      <c r="E14" t="str">
        <v>Outfield</v>
      </c>
      <c r="F14" s="14">
        <v>98</v>
      </c>
    </row>
    <row r="15" spans="1:8" x14ac:dyDescent="0.2">
      <c r="A15" s="13">
        <v>14</v>
      </c>
      <c r="B15" t="str">
        <v>Triston Casas</v>
      </c>
      <c r="C15">
        <v>0.26100000000000001</v>
      </c>
      <c r="D15" s="9">
        <v>760000</v>
      </c>
      <c r="E15" t="str">
        <v>First Base</v>
      </c>
      <c r="F15" s="14">
        <v>98</v>
      </c>
    </row>
    <row r="16" spans="1:8" x14ac:dyDescent="0.2">
      <c r="A16" s="15">
        <v>15</v>
      </c>
      <c r="B16" s="16" t="str">
        <v>William Contreras</v>
      </c>
      <c r="C16" s="16">
        <v>0.28799999999999998</v>
      </c>
      <c r="D16" s="17">
        <v>760000</v>
      </c>
      <c r="E16" s="16" t="str">
        <v>Catcher</v>
      </c>
      <c r="F16" s="18">
        <v>98</v>
      </c>
    </row>
    <row r="17" spans="2:7" ht="16" thickBot="1" x14ac:dyDescent="0.25">
      <c r="F17" s="19"/>
    </row>
    <row r="18" spans="2:7" ht="15" customHeight="1" x14ac:dyDescent="0.2">
      <c r="B18" s="29" t="s">
        <v>206</v>
      </c>
      <c r="C18" s="30"/>
      <c r="D18" s="42">
        <f>'Player data - best team &lt; 2mil'!Y7</f>
        <v>11400000</v>
      </c>
      <c r="F18" s="38" t="s">
        <v>207</v>
      </c>
      <c r="G18" s="40">
        <f>'Player data - best team &lt; 2mil'!Y4</f>
        <v>1</v>
      </c>
    </row>
    <row r="19" spans="2:7" ht="15" customHeight="1" thickBot="1" x14ac:dyDescent="0.25">
      <c r="B19" s="31"/>
      <c r="C19" s="32"/>
      <c r="D19" s="43"/>
      <c r="F19" s="39"/>
      <c r="G19" s="41"/>
    </row>
    <row r="20" spans="2:7" ht="15" customHeight="1" thickBot="1" x14ac:dyDescent="0.25">
      <c r="B20" s="31"/>
      <c r="C20" s="32"/>
      <c r="D20" s="43"/>
      <c r="F20" s="23"/>
      <c r="G20" s="24"/>
    </row>
    <row r="21" spans="2:7" ht="16" customHeight="1" thickBot="1" x14ac:dyDescent="0.25">
      <c r="B21" s="33"/>
      <c r="C21" s="34"/>
      <c r="D21" s="44"/>
      <c r="F21" s="38" t="s">
        <v>208</v>
      </c>
      <c r="G21" s="40">
        <f>'Player data - best team &lt; 2mil'!Y11</f>
        <v>2</v>
      </c>
    </row>
    <row r="22" spans="2:7" ht="16" customHeight="1" thickBot="1" x14ac:dyDescent="0.25">
      <c r="F22" s="39"/>
      <c r="G22" s="41"/>
    </row>
    <row r="23" spans="2:7" ht="15" customHeight="1" thickBot="1" x14ac:dyDescent="0.25">
      <c r="B23" s="29" t="s">
        <v>192</v>
      </c>
      <c r="C23" s="30"/>
      <c r="D23" s="35">
        <f>'Player data - best team &lt; 2mil'!Y8</f>
        <v>54.4</v>
      </c>
    </row>
    <row r="24" spans="2:7" ht="15" customHeight="1" x14ac:dyDescent="0.2">
      <c r="B24" s="31"/>
      <c r="C24" s="32"/>
      <c r="D24" s="36"/>
      <c r="E24" s="25"/>
      <c r="F24" s="38" t="s">
        <v>209</v>
      </c>
      <c r="G24" s="40">
        <f>'Player data - best team &lt; 2mil'!Y14</f>
        <v>0</v>
      </c>
    </row>
    <row r="25" spans="2:7" ht="15" customHeight="1" thickBot="1" x14ac:dyDescent="0.25">
      <c r="B25" s="31"/>
      <c r="C25" s="32"/>
      <c r="D25" s="36"/>
      <c r="F25" s="39"/>
      <c r="G25" s="41"/>
    </row>
    <row r="26" spans="2:7" ht="15" customHeight="1" thickBot="1" x14ac:dyDescent="0.25">
      <c r="B26" s="33"/>
      <c r="C26" s="34"/>
      <c r="D26" s="37"/>
      <c r="F26" s="23"/>
      <c r="G26" s="24"/>
    </row>
    <row r="27" spans="2:7" ht="16" customHeight="1" x14ac:dyDescent="0.2">
      <c r="B27" s="21"/>
      <c r="C27" s="21"/>
      <c r="D27" s="22"/>
    </row>
  </sheetData>
  <mergeCells count="10">
    <mergeCell ref="B23:C26"/>
    <mergeCell ref="D23:D26"/>
    <mergeCell ref="F24:F25"/>
    <mergeCell ref="G24:G25"/>
    <mergeCell ref="B18:C21"/>
    <mergeCell ref="D18:D21"/>
    <mergeCell ref="F18:F19"/>
    <mergeCell ref="G18:G19"/>
    <mergeCell ref="F21:F22"/>
    <mergeCell ref="G21:G22"/>
  </mergeCells>
  <conditionalFormatting sqref="B2"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B3:B16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max"/>
        <color rgb="FFF8696B"/>
        <color rgb="FFFCFCFF"/>
      </colorScale>
    </cfRule>
  </conditionalFormatting>
  <conditionalFormatting sqref="C2:C16">
    <cfRule type="cellIs" dxfId="3" priority="1" operator="greaterThanOrEqual">
      <formula>0.3</formula>
    </cfRule>
  </conditionalFormatting>
  <conditionalFormatting sqref="F2:F16">
    <cfRule type="cellIs" dxfId="2" priority="6" operator="lessThanOrEqual"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2541-0157-734A-801B-8B0A93277C0B}">
  <dimension ref="A1:H28"/>
  <sheetViews>
    <sheetView zoomScale="108" workbookViewId="0">
      <selection activeCell="D28" sqref="D28"/>
    </sheetView>
  </sheetViews>
  <sheetFormatPr baseColWidth="10" defaultRowHeight="15" x14ac:dyDescent="0.2"/>
  <cols>
    <col min="2" max="2" width="17.1640625" bestFit="1" customWidth="1"/>
    <col min="3" max="3" width="15.33203125" customWidth="1"/>
    <col min="4" max="4" width="21.83203125" bestFit="1" customWidth="1"/>
    <col min="7" max="7" width="11" customWidth="1"/>
  </cols>
  <sheetData>
    <row r="1" spans="1:8" x14ac:dyDescent="0.2">
      <c r="A1" s="11" t="s">
        <v>203</v>
      </c>
      <c r="B1" s="12" t="s">
        <v>0</v>
      </c>
      <c r="C1" s="12" t="s">
        <v>4</v>
      </c>
      <c r="D1" s="12" t="s">
        <v>204</v>
      </c>
      <c r="E1" s="12" t="s">
        <v>190</v>
      </c>
      <c r="F1" s="8" t="s">
        <v>205</v>
      </c>
    </row>
    <row r="2" spans="1:8" x14ac:dyDescent="0.2">
      <c r="A2" s="13">
        <v>1</v>
      </c>
      <c r="B2" t="str" cm="1">
        <f t="array" ref="B2:E16">_xlfn._xlws.FILTER(CHOOSE({1,2,3,4},'Player data_latest Sim plex'!A2:A141,'Player data_latest Sim plex'!E2:E141,'Player data_latest Sim plex'!G2:G141,'Player data_latest Sim plex'!I2:I141),'Player data_latest Sim plex'!V2:V141, "")</f>
        <v>Aaron Judge</v>
      </c>
      <c r="C2">
        <v>0.33100000000000002</v>
      </c>
      <c r="D2" s="9">
        <v>40000000</v>
      </c>
      <c r="E2" t="str">
        <v>Outfield</v>
      </c>
      <c r="F2" s="20" cm="1">
        <f t="array" ref="F2:F16">_xlfn._xlws.FILTER('Player data_latest Sim plex'!H2:H141,'Player data_latest Sim plex'!V2:V141=1, "")</f>
        <v>2</v>
      </c>
      <c r="H2" t="s">
        <v>211</v>
      </c>
    </row>
    <row r="3" spans="1:8" x14ac:dyDescent="0.2">
      <c r="A3" s="13">
        <v>2</v>
      </c>
      <c r="B3" t="str">
        <v>Adley Rutschman</v>
      </c>
      <c r="C3">
        <v>0.27</v>
      </c>
      <c r="D3" s="9">
        <v>760000</v>
      </c>
      <c r="E3" t="str">
        <v>Catcher</v>
      </c>
      <c r="F3" s="14">
        <v>98</v>
      </c>
    </row>
    <row r="4" spans="1:8" x14ac:dyDescent="0.2">
      <c r="A4" s="13">
        <v>3</v>
      </c>
      <c r="B4" t="str">
        <v>Bobby Witt Jr.</v>
      </c>
      <c r="C4">
        <v>0.308</v>
      </c>
      <c r="D4" s="9">
        <v>760000</v>
      </c>
      <c r="E4" t="str">
        <v>Shortstop</v>
      </c>
      <c r="F4" s="14">
        <v>98</v>
      </c>
    </row>
    <row r="5" spans="1:8" x14ac:dyDescent="0.2">
      <c r="A5" s="13">
        <v>4</v>
      </c>
      <c r="B5" t="str">
        <v>Corbin Carroll</v>
      </c>
      <c r="C5">
        <v>0.27800000000000002</v>
      </c>
      <c r="D5" s="9">
        <v>11100000</v>
      </c>
      <c r="E5" t="str">
        <v>Outfield</v>
      </c>
      <c r="F5" s="14">
        <v>60</v>
      </c>
    </row>
    <row r="6" spans="1:8" x14ac:dyDescent="0.2">
      <c r="A6" s="13">
        <v>5</v>
      </c>
      <c r="B6" t="str">
        <v>Edouard Julien</v>
      </c>
      <c r="C6">
        <v>0.25900000000000001</v>
      </c>
      <c r="D6" s="9">
        <v>760000</v>
      </c>
      <c r="E6" t="str">
        <v>Third Base</v>
      </c>
      <c r="F6" s="14">
        <v>98</v>
      </c>
    </row>
    <row r="7" spans="1:8" x14ac:dyDescent="0.2">
      <c r="A7" s="13">
        <v>6</v>
      </c>
      <c r="B7" t="str">
        <v>Elly De La Cruz</v>
      </c>
      <c r="C7">
        <v>0.26900000000000002</v>
      </c>
      <c r="D7" s="9">
        <v>760000</v>
      </c>
      <c r="E7" t="str">
        <v>Shortstop</v>
      </c>
      <c r="F7" s="14">
        <v>98</v>
      </c>
    </row>
    <row r="8" spans="1:8" x14ac:dyDescent="0.2">
      <c r="A8" s="13">
        <v>7</v>
      </c>
      <c r="B8" t="str">
        <v>Freddie Freeman</v>
      </c>
      <c r="C8">
        <v>0.30399999999999999</v>
      </c>
      <c r="D8" s="9">
        <v>27000000</v>
      </c>
      <c r="E8" t="str">
        <v>First Base</v>
      </c>
      <c r="F8" s="14">
        <v>13</v>
      </c>
    </row>
    <row r="9" spans="1:8" x14ac:dyDescent="0.2">
      <c r="A9" s="13">
        <v>8</v>
      </c>
      <c r="B9" t="str">
        <v>Juan Soto</v>
      </c>
      <c r="C9">
        <v>0.307</v>
      </c>
      <c r="D9" s="9">
        <v>31000000</v>
      </c>
      <c r="E9" t="str">
        <v>Outfield</v>
      </c>
      <c r="F9" s="14">
        <v>9</v>
      </c>
    </row>
    <row r="10" spans="1:8" x14ac:dyDescent="0.2">
      <c r="A10" s="13">
        <v>9</v>
      </c>
      <c r="B10" t="str">
        <v>Julio Rodríguez</v>
      </c>
      <c r="C10">
        <v>0.29099999999999998</v>
      </c>
      <c r="D10" s="9">
        <v>12000000</v>
      </c>
      <c r="E10" t="str">
        <v>Outfield</v>
      </c>
      <c r="F10" s="14">
        <v>50</v>
      </c>
    </row>
    <row r="11" spans="1:8" x14ac:dyDescent="0.2">
      <c r="A11" s="13">
        <v>10</v>
      </c>
      <c r="B11" t="str">
        <v>Kyle Tucker</v>
      </c>
      <c r="C11">
        <v>0.28599999999999998</v>
      </c>
      <c r="D11" s="9">
        <v>12000000</v>
      </c>
      <c r="E11" t="str">
        <v>Outfield</v>
      </c>
      <c r="F11" s="14">
        <v>50</v>
      </c>
    </row>
    <row r="12" spans="1:8" x14ac:dyDescent="0.2">
      <c r="A12" s="13">
        <v>11</v>
      </c>
      <c r="B12" t="str">
        <v>Luis Arraez</v>
      </c>
      <c r="C12">
        <v>0.32900000000000001</v>
      </c>
      <c r="D12" s="9">
        <v>10000000</v>
      </c>
      <c r="E12" t="str">
        <v>Second Base</v>
      </c>
      <c r="F12" s="14">
        <v>64</v>
      </c>
    </row>
    <row r="13" spans="1:8" x14ac:dyDescent="0.2">
      <c r="A13" s="13">
        <v>12</v>
      </c>
      <c r="B13" t="str">
        <v>Mookie Betts</v>
      </c>
      <c r="C13">
        <v>0.29199999999999998</v>
      </c>
      <c r="D13" s="9">
        <v>30000000</v>
      </c>
      <c r="E13" t="str">
        <v>Outfield</v>
      </c>
      <c r="F13" s="14">
        <v>10</v>
      </c>
    </row>
    <row r="14" spans="1:8" x14ac:dyDescent="0.2">
      <c r="A14" s="13">
        <v>13</v>
      </c>
      <c r="B14" t="str">
        <v>Ronald Acuña Jr.</v>
      </c>
      <c r="C14">
        <v>0.32400000000000001</v>
      </c>
      <c r="D14" s="9">
        <v>17000000</v>
      </c>
      <c r="E14" t="str">
        <v>Outfield</v>
      </c>
      <c r="F14" s="14">
        <v>36</v>
      </c>
    </row>
    <row r="15" spans="1:8" x14ac:dyDescent="0.2">
      <c r="A15" s="13">
        <v>14</v>
      </c>
      <c r="B15" t="str">
        <v>Vladimir Guerrero Jr.</v>
      </c>
      <c r="C15">
        <v>0.28100000000000003</v>
      </c>
      <c r="D15" s="9">
        <v>19250000</v>
      </c>
      <c r="E15" t="str">
        <v>First Base</v>
      </c>
      <c r="F15" s="14">
        <v>33</v>
      </c>
    </row>
    <row r="16" spans="1:8" x14ac:dyDescent="0.2">
      <c r="A16" s="15">
        <v>15</v>
      </c>
      <c r="B16" s="16" t="str">
        <v>William Contreras</v>
      </c>
      <c r="C16" s="16">
        <v>0.28799999999999998</v>
      </c>
      <c r="D16" s="17">
        <v>760000</v>
      </c>
      <c r="E16" s="16" t="str">
        <v>Catcher</v>
      </c>
      <c r="F16" s="18">
        <v>98</v>
      </c>
    </row>
    <row r="17" spans="2:7" ht="16" thickBot="1" x14ac:dyDescent="0.25">
      <c r="F17" s="19"/>
    </row>
    <row r="18" spans="2:7" ht="15" customHeight="1" x14ac:dyDescent="0.2">
      <c r="B18" s="29" t="s">
        <v>206</v>
      </c>
      <c r="C18" s="30"/>
      <c r="D18" s="42">
        <f>SUM(D2:D16)</f>
        <v>213150000</v>
      </c>
      <c r="F18" s="38" t="s">
        <v>207</v>
      </c>
      <c r="G18" s="40">
        <f>'Player data_latest Sim plex'!Y4</f>
        <v>3</v>
      </c>
    </row>
    <row r="19" spans="2:7" ht="15" customHeight="1" thickBot="1" x14ac:dyDescent="0.25">
      <c r="B19" s="31"/>
      <c r="C19" s="32"/>
      <c r="D19" s="43"/>
      <c r="F19" s="39"/>
      <c r="G19" s="41"/>
    </row>
    <row r="20" spans="2:7" ht="15" customHeight="1" thickBot="1" x14ac:dyDescent="0.25">
      <c r="B20" s="31"/>
      <c r="C20" s="32"/>
      <c r="D20" s="43"/>
      <c r="F20" s="23"/>
      <c r="G20" s="24"/>
    </row>
    <row r="21" spans="2:7" ht="16" customHeight="1" thickBot="1" x14ac:dyDescent="0.25">
      <c r="B21" s="33"/>
      <c r="C21" s="34"/>
      <c r="D21" s="44"/>
      <c r="F21" s="38" t="s">
        <v>208</v>
      </c>
      <c r="G21" s="40">
        <f>'Player data_latest Sim plex'!Y11</f>
        <v>6</v>
      </c>
    </row>
    <row r="22" spans="2:7" ht="16" customHeight="1" thickBot="1" x14ac:dyDescent="0.25">
      <c r="F22" s="39"/>
      <c r="G22" s="41"/>
    </row>
    <row r="23" spans="2:7" ht="15" customHeight="1" thickBot="1" x14ac:dyDescent="0.25">
      <c r="B23" s="29" t="s">
        <v>192</v>
      </c>
      <c r="C23" s="30"/>
      <c r="D23" s="35">
        <f>'Player data_latest Sim plex'!Y8</f>
        <v>89.8</v>
      </c>
    </row>
    <row r="24" spans="2:7" ht="15" customHeight="1" x14ac:dyDescent="0.2">
      <c r="B24" s="31"/>
      <c r="C24" s="32"/>
      <c r="D24" s="36"/>
      <c r="E24" s="25"/>
      <c r="F24" s="38" t="s">
        <v>209</v>
      </c>
      <c r="G24" s="40">
        <f>'Player data_latest Sim plex'!Y14</f>
        <v>4</v>
      </c>
    </row>
    <row r="25" spans="2:7" ht="15" customHeight="1" thickBot="1" x14ac:dyDescent="0.25">
      <c r="B25" s="31"/>
      <c r="C25" s="32"/>
      <c r="D25" s="36"/>
      <c r="F25" s="39"/>
      <c r="G25" s="41"/>
    </row>
    <row r="26" spans="2:7" ht="15" customHeight="1" thickBot="1" x14ac:dyDescent="0.25">
      <c r="B26" s="33"/>
      <c r="C26" s="34"/>
      <c r="D26" s="37"/>
      <c r="F26" s="23"/>
      <c r="G26" s="24"/>
    </row>
    <row r="27" spans="2:7" ht="16" customHeight="1" x14ac:dyDescent="0.2">
      <c r="B27" s="21"/>
      <c r="C27" s="21"/>
      <c r="D27" s="22"/>
    </row>
    <row r="28" spans="2:7" x14ac:dyDescent="0.2">
      <c r="D28" s="9"/>
    </row>
  </sheetData>
  <mergeCells count="10">
    <mergeCell ref="G18:G19"/>
    <mergeCell ref="F21:F22"/>
    <mergeCell ref="G21:G22"/>
    <mergeCell ref="F24:F25"/>
    <mergeCell ref="G24:G25"/>
    <mergeCell ref="D18:D21"/>
    <mergeCell ref="B18:C21"/>
    <mergeCell ref="B23:C26"/>
    <mergeCell ref="D23:D26"/>
    <mergeCell ref="F18:F19"/>
  </mergeCells>
  <conditionalFormatting sqref="B2:B16"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C2:C16">
    <cfRule type="cellIs" dxfId="1" priority="1" operator="greaterThanOrEqual">
      <formula>0.3</formula>
    </cfRule>
  </conditionalFormatting>
  <conditionalFormatting sqref="F2:F16">
    <cfRule type="cellIs" dxfId="0" priority="4" operator="lessThanOrEqual">
      <formula>15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FA59-7EA1-8946-8F37-AB64E27F7EE1}">
  <dimension ref="A1:W141"/>
  <sheetViews>
    <sheetView zoomScale="75" workbookViewId="0">
      <selection activeCell="Y9" sqref="Y9"/>
    </sheetView>
  </sheetViews>
  <sheetFormatPr baseColWidth="10" defaultRowHeight="15" x14ac:dyDescent="0.2"/>
  <cols>
    <col min="7" max="7" width="12.1640625" bestFit="1" customWidth="1"/>
    <col min="9" max="9" width="16.6640625" customWidth="1"/>
    <col min="10" max="12" width="8.83203125"/>
    <col min="14" max="16" width="14.6640625" bestFit="1" customWidth="1"/>
    <col min="17" max="17" width="13.6640625" bestFit="1" customWidth="1"/>
    <col min="18" max="20" width="14.6640625" bestFit="1" customWidth="1"/>
    <col min="22" max="22" width="16.83203125" customWidth="1"/>
    <col min="23" max="23" width="14.6640625" bestFit="1" customWidth="1"/>
  </cols>
  <sheetData>
    <row r="1" spans="1:23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196</v>
      </c>
      <c r="I1" s="3" t="s">
        <v>190</v>
      </c>
      <c r="J1" s="4" t="s">
        <v>74</v>
      </c>
      <c r="K1" s="4" t="s">
        <v>188</v>
      </c>
      <c r="L1" s="4" t="s">
        <v>189</v>
      </c>
      <c r="N1" s="45" t="s">
        <v>198</v>
      </c>
      <c r="O1" s="46"/>
      <c r="P1" s="46"/>
      <c r="Q1" s="46"/>
      <c r="R1" s="46"/>
      <c r="S1" s="46"/>
      <c r="T1" s="46"/>
      <c r="V1" s="10" t="s">
        <v>190</v>
      </c>
      <c r="W1" s="10" t="s">
        <v>212</v>
      </c>
    </row>
    <row r="2" spans="1:23" x14ac:dyDescent="0.2">
      <c r="A2" t="s">
        <v>142</v>
      </c>
      <c r="B2" t="s">
        <v>65</v>
      </c>
      <c r="C2">
        <v>152</v>
      </c>
      <c r="D2">
        <v>137</v>
      </c>
      <c r="E2" s="1">
        <v>0.33100000000000002</v>
      </c>
      <c r="F2">
        <v>53</v>
      </c>
      <c r="G2" s="2">
        <v>40000000</v>
      </c>
      <c r="H2" s="7">
        <f>_xlfn.RANK.EQ(G2,$G$2:$G$141,0)</f>
        <v>2</v>
      </c>
      <c r="I2" t="s">
        <v>186</v>
      </c>
      <c r="J2">
        <v>9.1999999999999993</v>
      </c>
      <c r="K2">
        <v>0</v>
      </c>
      <c r="L2">
        <v>1</v>
      </c>
      <c r="N2" s="8" t="s">
        <v>186</v>
      </c>
      <c r="O2" s="8" t="s">
        <v>47</v>
      </c>
      <c r="P2" s="8" t="s">
        <v>76</v>
      </c>
      <c r="Q2" s="8" t="s">
        <v>100</v>
      </c>
      <c r="R2" s="8" t="s">
        <v>187</v>
      </c>
      <c r="S2" s="8" t="s">
        <v>121</v>
      </c>
      <c r="T2" s="8" t="s">
        <v>197</v>
      </c>
      <c r="V2" t="s">
        <v>141</v>
      </c>
      <c r="W2" s="6">
        <v>14805714.285714285</v>
      </c>
    </row>
    <row r="3" spans="1:23" x14ac:dyDescent="0.2">
      <c r="A3" t="s">
        <v>11</v>
      </c>
      <c r="B3" t="s">
        <v>31</v>
      </c>
      <c r="C3">
        <v>148</v>
      </c>
      <c r="D3">
        <v>135</v>
      </c>
      <c r="E3" s="1">
        <v>0.27</v>
      </c>
      <c r="F3">
        <v>22</v>
      </c>
      <c r="G3" s="2">
        <v>760000</v>
      </c>
      <c r="H3" s="7">
        <f t="shared" ref="H3:H66" si="0">_xlfn.RANK.EQ(G3,$G$2:$G$141,0)</f>
        <v>98</v>
      </c>
      <c r="I3" t="s">
        <v>47</v>
      </c>
      <c r="J3">
        <v>6</v>
      </c>
      <c r="K3">
        <v>0</v>
      </c>
      <c r="L3">
        <v>1</v>
      </c>
      <c r="N3" s="6">
        <f>AVERAGEIF($I$2:$I$141,I2,$G$2:$G$141)</f>
        <v>12506222.222222222</v>
      </c>
      <c r="O3" s="6">
        <f>AVERAGEIF($I$2:$I$141,I23,$G$2:$G$141)</f>
        <v>5459385.7999999998</v>
      </c>
      <c r="P3" s="6">
        <f>AVERAGEIF($I$2:$I$141,I10,$G$2:$G$141)</f>
        <v>11990000</v>
      </c>
      <c r="Q3" s="6">
        <f>AVERAGEIF($I$2:$I$141,I17,$G$2:$G$141)</f>
        <v>9406562.5</v>
      </c>
      <c r="R3" s="6">
        <f>AVERAGEIF($I$2:$I$141,I39,$G$2:$G$141)</f>
        <v>8734000</v>
      </c>
      <c r="S3" s="6">
        <f>AVERAGEIF($I$2:$I$141,I15,$G$2:$G$141)</f>
        <v>12094761.904761905</v>
      </c>
      <c r="T3" s="6">
        <f>AVERAGEIF($I$2:$I$141,I12,$G$2:$G$141)</f>
        <v>14805714.285714285</v>
      </c>
      <c r="V3" t="s">
        <v>186</v>
      </c>
      <c r="W3" s="6">
        <v>12506222.222222222</v>
      </c>
    </row>
    <row r="4" spans="1:23" x14ac:dyDescent="0.2">
      <c r="A4" t="s">
        <v>151</v>
      </c>
      <c r="B4" t="s">
        <v>34</v>
      </c>
      <c r="C4">
        <v>152</v>
      </c>
      <c r="D4">
        <v>150</v>
      </c>
      <c r="E4" s="1">
        <v>0.27300000000000002</v>
      </c>
      <c r="F4">
        <v>36</v>
      </c>
      <c r="G4" s="2">
        <v>6000000</v>
      </c>
      <c r="H4" s="7">
        <f t="shared" si="0"/>
        <v>79</v>
      </c>
      <c r="I4" t="s">
        <v>186</v>
      </c>
      <c r="J4">
        <v>4.7</v>
      </c>
      <c r="K4">
        <v>0</v>
      </c>
      <c r="L4">
        <v>0</v>
      </c>
      <c r="V4" t="s">
        <v>121</v>
      </c>
      <c r="W4" s="6">
        <v>12094761.904761905</v>
      </c>
    </row>
    <row r="5" spans="1:23" x14ac:dyDescent="0.2">
      <c r="A5" t="s">
        <v>17</v>
      </c>
      <c r="B5" t="s">
        <v>37</v>
      </c>
      <c r="C5">
        <v>132</v>
      </c>
      <c r="D5">
        <v>127</v>
      </c>
      <c r="E5" s="1">
        <v>0.28199999999999997</v>
      </c>
      <c r="F5">
        <v>15</v>
      </c>
      <c r="G5" s="2">
        <v>760000</v>
      </c>
      <c r="H5" s="7">
        <f t="shared" si="0"/>
        <v>98</v>
      </c>
      <c r="I5" t="s">
        <v>47</v>
      </c>
      <c r="J5">
        <v>2.4</v>
      </c>
      <c r="K5">
        <v>0</v>
      </c>
      <c r="L5">
        <v>0</v>
      </c>
      <c r="V5" t="s">
        <v>76</v>
      </c>
      <c r="W5" s="6">
        <v>11990000</v>
      </c>
    </row>
    <row r="6" spans="1:23" x14ac:dyDescent="0.2">
      <c r="A6" t="s">
        <v>175</v>
      </c>
      <c r="B6" t="s">
        <v>44</v>
      </c>
      <c r="C6">
        <v>135</v>
      </c>
      <c r="D6">
        <v>128</v>
      </c>
      <c r="E6" s="1">
        <v>0.25900000000000001</v>
      </c>
      <c r="F6">
        <v>16</v>
      </c>
      <c r="G6" s="2">
        <v>760000</v>
      </c>
      <c r="H6" s="7">
        <f t="shared" si="0"/>
        <v>98</v>
      </c>
      <c r="I6" t="s">
        <v>186</v>
      </c>
      <c r="J6">
        <v>1.9</v>
      </c>
      <c r="K6">
        <v>0</v>
      </c>
      <c r="L6">
        <v>0</v>
      </c>
      <c r="V6" t="s">
        <v>100</v>
      </c>
      <c r="W6" s="6">
        <v>9406562.5</v>
      </c>
    </row>
    <row r="7" spans="1:23" x14ac:dyDescent="0.2">
      <c r="A7" t="s">
        <v>135</v>
      </c>
      <c r="B7" t="s">
        <v>65</v>
      </c>
      <c r="C7">
        <v>145</v>
      </c>
      <c r="D7">
        <v>148</v>
      </c>
      <c r="E7" s="1">
        <v>0.27300000000000002</v>
      </c>
      <c r="F7">
        <v>17</v>
      </c>
      <c r="G7" s="2">
        <v>9000000</v>
      </c>
      <c r="H7" s="7">
        <f t="shared" si="0"/>
        <v>67</v>
      </c>
      <c r="I7" t="s">
        <v>186</v>
      </c>
      <c r="J7">
        <v>2.6</v>
      </c>
      <c r="K7">
        <v>0</v>
      </c>
      <c r="L7">
        <v>0</v>
      </c>
      <c r="V7" t="s">
        <v>187</v>
      </c>
      <c r="W7" s="6">
        <v>8734000</v>
      </c>
    </row>
    <row r="8" spans="1:23" x14ac:dyDescent="0.2">
      <c r="A8" t="s">
        <v>87</v>
      </c>
      <c r="B8" t="s">
        <v>38</v>
      </c>
      <c r="C8">
        <v>150</v>
      </c>
      <c r="D8">
        <v>158</v>
      </c>
      <c r="E8" s="1">
        <v>0.26800000000000002</v>
      </c>
      <c r="F8">
        <v>15</v>
      </c>
      <c r="G8" s="2">
        <v>11500000</v>
      </c>
      <c r="H8" s="7">
        <f t="shared" si="0"/>
        <v>56</v>
      </c>
      <c r="I8" t="s">
        <v>100</v>
      </c>
      <c r="J8">
        <v>3.9</v>
      </c>
      <c r="K8">
        <v>0</v>
      </c>
      <c r="L8">
        <v>0</v>
      </c>
      <c r="V8" t="s">
        <v>47</v>
      </c>
      <c r="W8" s="6">
        <v>5459385.7999999998</v>
      </c>
    </row>
    <row r="9" spans="1:23" x14ac:dyDescent="0.2">
      <c r="A9" t="s">
        <v>182</v>
      </c>
      <c r="B9" t="s">
        <v>120</v>
      </c>
      <c r="C9">
        <v>142</v>
      </c>
      <c r="D9">
        <v>144</v>
      </c>
      <c r="E9" s="1">
        <v>0.27</v>
      </c>
      <c r="F9">
        <v>14</v>
      </c>
      <c r="G9" s="2">
        <v>16000000</v>
      </c>
      <c r="H9" s="7">
        <f t="shared" si="0"/>
        <v>39</v>
      </c>
      <c r="I9" t="s">
        <v>186</v>
      </c>
      <c r="J9">
        <v>2.2000000000000002</v>
      </c>
      <c r="K9">
        <v>0</v>
      </c>
      <c r="L9">
        <v>0</v>
      </c>
    </row>
    <row r="10" spans="1:23" x14ac:dyDescent="0.2">
      <c r="A10" t="s">
        <v>69</v>
      </c>
      <c r="B10" t="s">
        <v>70</v>
      </c>
      <c r="C10">
        <v>148</v>
      </c>
      <c r="D10">
        <v>140</v>
      </c>
      <c r="E10" s="1">
        <v>0.25800000000000001</v>
      </c>
      <c r="F10">
        <v>24</v>
      </c>
      <c r="G10" s="2">
        <v>760000</v>
      </c>
      <c r="H10" s="7">
        <f t="shared" si="0"/>
        <v>98</v>
      </c>
      <c r="I10" t="s">
        <v>76</v>
      </c>
      <c r="J10">
        <v>2.4</v>
      </c>
      <c r="K10">
        <v>0</v>
      </c>
      <c r="L10">
        <v>1</v>
      </c>
    </row>
    <row r="11" spans="1:23" x14ac:dyDescent="0.2">
      <c r="A11" t="s">
        <v>64</v>
      </c>
      <c r="B11" t="s">
        <v>65</v>
      </c>
      <c r="C11">
        <v>128</v>
      </c>
      <c r="D11">
        <v>118</v>
      </c>
      <c r="E11" s="1">
        <v>0.251</v>
      </c>
      <c r="F11">
        <v>21</v>
      </c>
      <c r="G11" s="2">
        <v>20000000</v>
      </c>
      <c r="H11" s="7">
        <f t="shared" si="0"/>
        <v>26</v>
      </c>
      <c r="I11" t="s">
        <v>76</v>
      </c>
      <c r="J11">
        <v>1.5</v>
      </c>
      <c r="K11">
        <v>0</v>
      </c>
      <c r="L11">
        <v>0</v>
      </c>
    </row>
    <row r="12" spans="1:23" x14ac:dyDescent="0.2">
      <c r="A12" t="s">
        <v>137</v>
      </c>
      <c r="B12" t="s">
        <v>31</v>
      </c>
      <c r="C12">
        <v>150</v>
      </c>
      <c r="D12">
        <v>160</v>
      </c>
      <c r="E12" s="1">
        <v>0.27200000000000002</v>
      </c>
      <c r="F12">
        <v>31</v>
      </c>
      <c r="G12" s="2">
        <v>4800000</v>
      </c>
      <c r="H12" s="7">
        <f t="shared" si="0"/>
        <v>87</v>
      </c>
      <c r="I12" t="s">
        <v>141</v>
      </c>
      <c r="J12">
        <v>3.4</v>
      </c>
      <c r="K12">
        <v>0</v>
      </c>
      <c r="L12">
        <v>0</v>
      </c>
    </row>
    <row r="13" spans="1:23" x14ac:dyDescent="0.2">
      <c r="A13" t="s">
        <v>110</v>
      </c>
      <c r="B13" t="s">
        <v>65</v>
      </c>
      <c r="C13">
        <v>155</v>
      </c>
      <c r="D13">
        <v>153</v>
      </c>
      <c r="E13" s="1">
        <v>0.26200000000000001</v>
      </c>
      <c r="F13">
        <v>18</v>
      </c>
      <c r="G13" s="2">
        <v>760000</v>
      </c>
      <c r="H13" s="7">
        <f t="shared" si="0"/>
        <v>98</v>
      </c>
      <c r="I13" t="s">
        <v>121</v>
      </c>
      <c r="J13">
        <v>3.7</v>
      </c>
      <c r="K13">
        <v>0</v>
      </c>
      <c r="L13">
        <v>1</v>
      </c>
    </row>
    <row r="14" spans="1:23" x14ac:dyDescent="0.2">
      <c r="A14" t="s">
        <v>18</v>
      </c>
      <c r="B14" t="s">
        <v>38</v>
      </c>
      <c r="C14">
        <v>136</v>
      </c>
      <c r="D14">
        <v>98</v>
      </c>
      <c r="E14" s="1">
        <v>0.19500000000000001</v>
      </c>
      <c r="F14">
        <v>14</v>
      </c>
      <c r="G14" s="2">
        <v>760000</v>
      </c>
      <c r="H14" s="7">
        <f t="shared" si="0"/>
        <v>98</v>
      </c>
      <c r="I14" t="s">
        <v>47</v>
      </c>
      <c r="J14">
        <v>1.5</v>
      </c>
      <c r="K14">
        <v>1</v>
      </c>
      <c r="L14">
        <v>0</v>
      </c>
    </row>
    <row r="15" spans="1:23" x14ac:dyDescent="0.2">
      <c r="A15" t="s">
        <v>106</v>
      </c>
      <c r="B15" t="s">
        <v>29</v>
      </c>
      <c r="C15">
        <v>159</v>
      </c>
      <c r="D15">
        <v>186</v>
      </c>
      <c r="E15" s="1">
        <v>0.308</v>
      </c>
      <c r="F15">
        <v>31</v>
      </c>
      <c r="G15" s="2">
        <v>760000</v>
      </c>
      <c r="H15" s="7">
        <f t="shared" si="0"/>
        <v>98</v>
      </c>
      <c r="I15" t="s">
        <v>121</v>
      </c>
      <c r="J15">
        <v>7</v>
      </c>
      <c r="K15">
        <v>0</v>
      </c>
      <c r="L15">
        <v>1</v>
      </c>
    </row>
    <row r="16" spans="1:23" x14ac:dyDescent="0.2">
      <c r="A16" t="s">
        <v>82</v>
      </c>
      <c r="B16" t="s">
        <v>83</v>
      </c>
      <c r="C16">
        <v>128</v>
      </c>
      <c r="D16">
        <v>112</v>
      </c>
      <c r="E16" s="1">
        <v>0.249</v>
      </c>
      <c r="F16">
        <v>24</v>
      </c>
      <c r="G16" s="2">
        <v>8700000</v>
      </c>
      <c r="H16" s="7">
        <f t="shared" si="0"/>
        <v>70</v>
      </c>
      <c r="I16" t="s">
        <v>100</v>
      </c>
      <c r="J16">
        <v>2.5</v>
      </c>
      <c r="K16">
        <v>0</v>
      </c>
      <c r="L16">
        <v>0</v>
      </c>
    </row>
    <row r="17" spans="1:12" x14ac:dyDescent="0.2">
      <c r="A17" t="s">
        <v>93</v>
      </c>
      <c r="B17" t="s">
        <v>52</v>
      </c>
      <c r="C17">
        <v>140</v>
      </c>
      <c r="D17">
        <v>137</v>
      </c>
      <c r="E17" s="1">
        <v>0.26200000000000001</v>
      </c>
      <c r="F17">
        <v>12</v>
      </c>
      <c r="G17" s="2">
        <v>760000</v>
      </c>
      <c r="H17" s="7">
        <f t="shared" si="0"/>
        <v>98</v>
      </c>
      <c r="I17" t="s">
        <v>100</v>
      </c>
      <c r="J17">
        <v>2.2999999999999998</v>
      </c>
      <c r="K17">
        <v>0</v>
      </c>
      <c r="L17">
        <v>0</v>
      </c>
    </row>
    <row r="18" spans="1:12" x14ac:dyDescent="0.2">
      <c r="A18" t="s">
        <v>140</v>
      </c>
      <c r="B18" t="s">
        <v>39</v>
      </c>
      <c r="C18">
        <v>144</v>
      </c>
      <c r="D18">
        <v>140</v>
      </c>
      <c r="E18" s="1">
        <v>0.26300000000000001</v>
      </c>
      <c r="F18">
        <v>29</v>
      </c>
      <c r="G18" s="2">
        <v>760000</v>
      </c>
      <c r="H18" s="7">
        <f t="shared" si="0"/>
        <v>98</v>
      </c>
      <c r="I18" t="s">
        <v>141</v>
      </c>
      <c r="J18">
        <v>2.1</v>
      </c>
      <c r="K18">
        <v>0</v>
      </c>
      <c r="L18">
        <v>0</v>
      </c>
    </row>
    <row r="19" spans="1:12" x14ac:dyDescent="0.2">
      <c r="A19" t="s">
        <v>184</v>
      </c>
      <c r="B19" t="s">
        <v>45</v>
      </c>
      <c r="C19">
        <v>145</v>
      </c>
      <c r="D19">
        <v>141</v>
      </c>
      <c r="E19" s="1">
        <v>0.25900000000000001</v>
      </c>
      <c r="F19">
        <v>18</v>
      </c>
      <c r="G19" s="2">
        <v>760000</v>
      </c>
      <c r="H19" s="7">
        <f t="shared" si="0"/>
        <v>98</v>
      </c>
      <c r="I19" t="s">
        <v>186</v>
      </c>
      <c r="J19">
        <v>2.4</v>
      </c>
      <c r="K19">
        <v>0</v>
      </c>
      <c r="L19">
        <v>0</v>
      </c>
    </row>
    <row r="20" spans="1:12" x14ac:dyDescent="0.2">
      <c r="A20" t="s">
        <v>174</v>
      </c>
      <c r="B20" t="s">
        <v>40</v>
      </c>
      <c r="C20">
        <v>154</v>
      </c>
      <c r="D20">
        <v>165</v>
      </c>
      <c r="E20" s="1">
        <v>0.27700000000000002</v>
      </c>
      <c r="F20">
        <v>25</v>
      </c>
      <c r="G20" s="2">
        <v>13000000</v>
      </c>
      <c r="H20" s="7">
        <f t="shared" si="0"/>
        <v>45</v>
      </c>
      <c r="I20" t="s">
        <v>186</v>
      </c>
      <c r="J20">
        <v>4</v>
      </c>
      <c r="K20">
        <v>0</v>
      </c>
      <c r="L20">
        <v>0</v>
      </c>
    </row>
    <row r="21" spans="1:12" x14ac:dyDescent="0.2">
      <c r="A21" t="s">
        <v>67</v>
      </c>
      <c r="B21" t="s">
        <v>27</v>
      </c>
      <c r="C21">
        <v>155</v>
      </c>
      <c r="D21">
        <v>170</v>
      </c>
      <c r="E21" s="1">
        <v>0.28999999999999998</v>
      </c>
      <c r="F21">
        <v>34</v>
      </c>
      <c r="G21" s="2">
        <v>27000000</v>
      </c>
      <c r="H21" s="7">
        <f t="shared" si="0"/>
        <v>13</v>
      </c>
      <c r="I21" t="s">
        <v>76</v>
      </c>
      <c r="J21">
        <v>6.2</v>
      </c>
      <c r="K21">
        <v>0</v>
      </c>
      <c r="L21">
        <v>1</v>
      </c>
    </row>
    <row r="22" spans="1:12" x14ac:dyDescent="0.2">
      <c r="A22" t="s">
        <v>132</v>
      </c>
      <c r="B22" t="s">
        <v>44</v>
      </c>
      <c r="C22">
        <v>120</v>
      </c>
      <c r="D22">
        <v>118</v>
      </c>
      <c r="E22" s="1">
        <v>0.25700000000000001</v>
      </c>
      <c r="F22">
        <v>22</v>
      </c>
      <c r="G22" s="2">
        <v>15000000</v>
      </c>
      <c r="H22" s="7">
        <f t="shared" si="0"/>
        <v>41</v>
      </c>
      <c r="I22" t="s">
        <v>186</v>
      </c>
      <c r="J22">
        <v>2</v>
      </c>
      <c r="K22">
        <v>0</v>
      </c>
      <c r="L22">
        <v>1</v>
      </c>
    </row>
    <row r="23" spans="1:12" x14ac:dyDescent="0.2">
      <c r="A23" t="s">
        <v>10</v>
      </c>
      <c r="B23" t="s">
        <v>30</v>
      </c>
      <c r="C23">
        <v>150</v>
      </c>
      <c r="D23">
        <v>120</v>
      </c>
      <c r="E23" s="1">
        <v>0.247</v>
      </c>
      <c r="F23">
        <v>60</v>
      </c>
      <c r="G23" s="2">
        <v>17500000</v>
      </c>
      <c r="H23" s="7">
        <f t="shared" si="0"/>
        <v>35</v>
      </c>
      <c r="I23" t="s">
        <v>47</v>
      </c>
      <c r="J23">
        <v>5.0999999999999996</v>
      </c>
      <c r="K23">
        <v>0</v>
      </c>
      <c r="L23">
        <v>0</v>
      </c>
    </row>
    <row r="24" spans="1:12" x14ac:dyDescent="0.2">
      <c r="A24" t="s">
        <v>102</v>
      </c>
      <c r="B24" t="s">
        <v>44</v>
      </c>
      <c r="C24">
        <v>150</v>
      </c>
      <c r="D24">
        <v>160</v>
      </c>
      <c r="E24" s="1">
        <v>0.26800000000000002</v>
      </c>
      <c r="F24">
        <v>23</v>
      </c>
      <c r="G24" s="2">
        <v>33300000</v>
      </c>
      <c r="H24" s="7">
        <f t="shared" si="0"/>
        <v>5</v>
      </c>
      <c r="I24" t="s">
        <v>121</v>
      </c>
      <c r="J24">
        <v>4.2</v>
      </c>
      <c r="K24">
        <v>0</v>
      </c>
      <c r="L24">
        <v>1</v>
      </c>
    </row>
    <row r="25" spans="1:12" x14ac:dyDescent="0.2">
      <c r="A25" t="s">
        <v>68</v>
      </c>
      <c r="B25" t="s">
        <v>44</v>
      </c>
      <c r="C25">
        <v>124</v>
      </c>
      <c r="D25">
        <v>110</v>
      </c>
      <c r="E25" s="1">
        <v>0.23899999999999999</v>
      </c>
      <c r="F25">
        <v>19</v>
      </c>
      <c r="G25" s="2">
        <v>6000000</v>
      </c>
      <c r="H25" s="7">
        <f t="shared" si="0"/>
        <v>79</v>
      </c>
      <c r="I25" t="s">
        <v>76</v>
      </c>
      <c r="J25">
        <v>1.1000000000000001</v>
      </c>
      <c r="K25">
        <v>0</v>
      </c>
      <c r="L25">
        <v>0</v>
      </c>
    </row>
    <row r="26" spans="1:12" x14ac:dyDescent="0.2">
      <c r="A26" t="s">
        <v>157</v>
      </c>
      <c r="B26" t="s">
        <v>31</v>
      </c>
      <c r="C26">
        <v>146</v>
      </c>
      <c r="D26">
        <v>145</v>
      </c>
      <c r="E26" s="1">
        <v>0.26500000000000001</v>
      </c>
      <c r="F26">
        <v>18</v>
      </c>
      <c r="G26" s="2">
        <v>4500000</v>
      </c>
      <c r="H26" s="7">
        <f t="shared" si="0"/>
        <v>91</v>
      </c>
      <c r="I26" t="s">
        <v>186</v>
      </c>
      <c r="J26">
        <v>3.1</v>
      </c>
      <c r="K26">
        <v>0</v>
      </c>
      <c r="L26">
        <v>0</v>
      </c>
    </row>
    <row r="27" spans="1:12" x14ac:dyDescent="0.2">
      <c r="A27" t="s">
        <v>181</v>
      </c>
      <c r="B27" t="s">
        <v>36</v>
      </c>
      <c r="C27">
        <v>139</v>
      </c>
      <c r="D27">
        <v>132</v>
      </c>
      <c r="E27" s="1">
        <v>0.25900000000000001</v>
      </c>
      <c r="F27">
        <v>17</v>
      </c>
      <c r="G27" s="2">
        <v>7500000</v>
      </c>
      <c r="H27" s="7">
        <f t="shared" si="0"/>
        <v>76</v>
      </c>
      <c r="I27" t="s">
        <v>186</v>
      </c>
      <c r="J27">
        <v>2.2999999999999998</v>
      </c>
      <c r="K27">
        <v>0</v>
      </c>
      <c r="L27">
        <v>0</v>
      </c>
    </row>
    <row r="28" spans="1:12" x14ac:dyDescent="0.2">
      <c r="A28" t="s">
        <v>24</v>
      </c>
      <c r="B28" t="s">
        <v>44</v>
      </c>
      <c r="C28">
        <v>101</v>
      </c>
      <c r="D28">
        <v>82</v>
      </c>
      <c r="E28" s="1">
        <v>0.22600000000000001</v>
      </c>
      <c r="F28">
        <v>6</v>
      </c>
      <c r="G28" s="2">
        <v>10000000</v>
      </c>
      <c r="H28" s="7">
        <f t="shared" si="0"/>
        <v>64</v>
      </c>
      <c r="I28" t="s">
        <v>47</v>
      </c>
      <c r="J28">
        <v>1</v>
      </c>
      <c r="K28">
        <v>0</v>
      </c>
      <c r="L28">
        <v>0</v>
      </c>
    </row>
    <row r="29" spans="1:12" x14ac:dyDescent="0.2">
      <c r="A29" t="s">
        <v>55</v>
      </c>
      <c r="B29" t="s">
        <v>33</v>
      </c>
      <c r="C29">
        <v>155</v>
      </c>
      <c r="D29">
        <v>150</v>
      </c>
      <c r="E29" s="1">
        <v>0.25700000000000001</v>
      </c>
      <c r="F29">
        <v>32</v>
      </c>
      <c r="G29" s="2">
        <v>6500000</v>
      </c>
      <c r="H29" s="7">
        <f t="shared" si="0"/>
        <v>78</v>
      </c>
      <c r="I29" t="s">
        <v>76</v>
      </c>
      <c r="J29">
        <v>3.6</v>
      </c>
      <c r="K29">
        <v>0</v>
      </c>
      <c r="L29">
        <v>0</v>
      </c>
    </row>
    <row r="30" spans="1:12" x14ac:dyDescent="0.2">
      <c r="A30" t="s">
        <v>158</v>
      </c>
      <c r="B30" t="s">
        <v>32</v>
      </c>
      <c r="C30">
        <v>147</v>
      </c>
      <c r="D30">
        <v>151</v>
      </c>
      <c r="E30" s="1">
        <v>0.27200000000000002</v>
      </c>
      <c r="F30">
        <v>21</v>
      </c>
      <c r="G30" s="2">
        <v>26000000</v>
      </c>
      <c r="H30" s="7">
        <f t="shared" si="0"/>
        <v>15</v>
      </c>
      <c r="I30" t="s">
        <v>186</v>
      </c>
      <c r="J30">
        <v>3.8</v>
      </c>
      <c r="K30">
        <v>0</v>
      </c>
      <c r="L30">
        <v>0</v>
      </c>
    </row>
    <row r="31" spans="1:12" x14ac:dyDescent="0.2">
      <c r="A31" t="s">
        <v>98</v>
      </c>
      <c r="B31" t="s">
        <v>86</v>
      </c>
      <c r="C31">
        <v>141</v>
      </c>
      <c r="D31">
        <v>132</v>
      </c>
      <c r="E31" s="1">
        <v>0.254</v>
      </c>
      <c r="F31">
        <v>21</v>
      </c>
      <c r="G31" s="2">
        <v>760000</v>
      </c>
      <c r="H31" s="7">
        <f t="shared" si="0"/>
        <v>98</v>
      </c>
      <c r="I31" t="s">
        <v>100</v>
      </c>
      <c r="J31">
        <v>2.2000000000000002</v>
      </c>
      <c r="K31">
        <v>0</v>
      </c>
      <c r="L31">
        <v>0</v>
      </c>
    </row>
    <row r="32" spans="1:12" x14ac:dyDescent="0.2">
      <c r="A32" t="s">
        <v>112</v>
      </c>
      <c r="B32" t="s">
        <v>35</v>
      </c>
      <c r="C32">
        <v>150</v>
      </c>
      <c r="D32">
        <v>151</v>
      </c>
      <c r="E32" s="1">
        <v>0.26300000000000001</v>
      </c>
      <c r="F32">
        <v>22</v>
      </c>
      <c r="G32" s="2">
        <v>760000</v>
      </c>
      <c r="H32" s="7">
        <f t="shared" si="0"/>
        <v>98</v>
      </c>
      <c r="I32" t="s">
        <v>121</v>
      </c>
      <c r="J32">
        <v>3.6</v>
      </c>
      <c r="K32">
        <v>0</v>
      </c>
      <c r="L32">
        <v>0</v>
      </c>
    </row>
    <row r="33" spans="1:12" x14ac:dyDescent="0.2">
      <c r="A33" t="s">
        <v>95</v>
      </c>
      <c r="B33" t="s">
        <v>96</v>
      </c>
      <c r="C33">
        <v>118</v>
      </c>
      <c r="D33">
        <v>104</v>
      </c>
      <c r="E33" s="1">
        <v>0.248</v>
      </c>
      <c r="F33">
        <v>9</v>
      </c>
      <c r="G33" s="2">
        <v>2000000</v>
      </c>
      <c r="H33" s="7">
        <f t="shared" si="0"/>
        <v>95</v>
      </c>
      <c r="I33" t="s">
        <v>100</v>
      </c>
      <c r="J33">
        <v>0.7</v>
      </c>
      <c r="K33">
        <v>0</v>
      </c>
      <c r="L33">
        <v>0</v>
      </c>
    </row>
    <row r="34" spans="1:12" x14ac:dyDescent="0.2">
      <c r="A34" t="s">
        <v>155</v>
      </c>
      <c r="B34" t="s">
        <v>33</v>
      </c>
      <c r="C34">
        <v>153</v>
      </c>
      <c r="D34">
        <v>161</v>
      </c>
      <c r="E34" s="1">
        <v>0.27800000000000002</v>
      </c>
      <c r="F34">
        <v>19</v>
      </c>
      <c r="G34" s="2">
        <v>11100000</v>
      </c>
      <c r="H34" s="7">
        <f t="shared" si="0"/>
        <v>60</v>
      </c>
      <c r="I34" t="s">
        <v>186</v>
      </c>
      <c r="J34">
        <v>5.2</v>
      </c>
      <c r="K34">
        <v>0</v>
      </c>
      <c r="L34">
        <v>0</v>
      </c>
    </row>
    <row r="35" spans="1:12" x14ac:dyDescent="0.2">
      <c r="A35" t="s">
        <v>103</v>
      </c>
      <c r="B35" t="s">
        <v>34</v>
      </c>
      <c r="C35">
        <v>144</v>
      </c>
      <c r="D35">
        <v>165</v>
      </c>
      <c r="E35" s="1">
        <v>0.28699999999999998</v>
      </c>
      <c r="F35">
        <v>30</v>
      </c>
      <c r="G35" s="2">
        <v>32500000</v>
      </c>
      <c r="H35" s="7">
        <f t="shared" si="0"/>
        <v>6</v>
      </c>
      <c r="I35" t="s">
        <v>121</v>
      </c>
      <c r="J35">
        <v>5.5</v>
      </c>
      <c r="K35">
        <v>0</v>
      </c>
      <c r="L35">
        <v>1</v>
      </c>
    </row>
    <row r="36" spans="1:12" x14ac:dyDescent="0.2">
      <c r="A36" t="s">
        <v>105</v>
      </c>
      <c r="B36" t="s">
        <v>86</v>
      </c>
      <c r="C36">
        <v>148</v>
      </c>
      <c r="D36">
        <v>151</v>
      </c>
      <c r="E36" s="1">
        <v>0.26300000000000001</v>
      </c>
      <c r="F36">
        <v>20</v>
      </c>
      <c r="G36" s="2">
        <v>25000000</v>
      </c>
      <c r="H36" s="7">
        <f t="shared" si="0"/>
        <v>17</v>
      </c>
      <c r="I36" t="s">
        <v>121</v>
      </c>
      <c r="J36">
        <v>4</v>
      </c>
      <c r="K36">
        <v>0</v>
      </c>
      <c r="L36">
        <v>1</v>
      </c>
    </row>
    <row r="37" spans="1:12" x14ac:dyDescent="0.2">
      <c r="A37" t="s">
        <v>168</v>
      </c>
      <c r="B37" t="s">
        <v>37</v>
      </c>
      <c r="C37">
        <v>147</v>
      </c>
      <c r="D37">
        <v>145</v>
      </c>
      <c r="E37" s="1">
        <v>0.26400000000000001</v>
      </c>
      <c r="F37">
        <v>24</v>
      </c>
      <c r="G37" s="2">
        <v>4900000</v>
      </c>
      <c r="H37" s="7">
        <f t="shared" si="0"/>
        <v>85</v>
      </c>
      <c r="I37" t="s">
        <v>186</v>
      </c>
      <c r="J37">
        <v>3</v>
      </c>
      <c r="K37">
        <v>0</v>
      </c>
      <c r="L37">
        <v>0</v>
      </c>
    </row>
    <row r="38" spans="1:12" x14ac:dyDescent="0.2">
      <c r="A38" t="s">
        <v>66</v>
      </c>
      <c r="B38" t="s">
        <v>65</v>
      </c>
      <c r="C38">
        <v>120</v>
      </c>
      <c r="D38">
        <v>112</v>
      </c>
      <c r="E38" s="1">
        <v>0.26400000000000001</v>
      </c>
      <c r="F38">
        <v>15</v>
      </c>
      <c r="G38" s="2">
        <v>15000000</v>
      </c>
      <c r="H38" s="7">
        <f t="shared" si="0"/>
        <v>41</v>
      </c>
      <c r="I38" t="s">
        <v>100</v>
      </c>
      <c r="J38">
        <v>2</v>
      </c>
      <c r="K38">
        <v>0</v>
      </c>
      <c r="L38">
        <v>0</v>
      </c>
    </row>
    <row r="39" spans="1:12" x14ac:dyDescent="0.2">
      <c r="A39" t="s">
        <v>94</v>
      </c>
      <c r="B39" t="s">
        <v>44</v>
      </c>
      <c r="C39">
        <v>135</v>
      </c>
      <c r="D39">
        <v>128</v>
      </c>
      <c r="E39" s="1">
        <v>0.25900000000000001</v>
      </c>
      <c r="F39">
        <v>18</v>
      </c>
      <c r="G39" s="2">
        <v>760000</v>
      </c>
      <c r="H39" s="7">
        <f t="shared" si="0"/>
        <v>98</v>
      </c>
      <c r="I39" t="s">
        <v>187</v>
      </c>
      <c r="J39">
        <v>2.5</v>
      </c>
      <c r="K39">
        <v>1</v>
      </c>
      <c r="L39">
        <v>0</v>
      </c>
    </row>
    <row r="40" spans="1:12" x14ac:dyDescent="0.2">
      <c r="A40" t="s">
        <v>25</v>
      </c>
      <c r="B40" t="s">
        <v>45</v>
      </c>
      <c r="C40">
        <v>135</v>
      </c>
      <c r="D40">
        <v>137</v>
      </c>
      <c r="E40" s="1">
        <v>0.28399999999999997</v>
      </c>
      <c r="F40">
        <v>14</v>
      </c>
      <c r="G40" s="2">
        <v>6000000</v>
      </c>
      <c r="H40" s="7">
        <f t="shared" si="0"/>
        <v>79</v>
      </c>
      <c r="I40" t="s">
        <v>47</v>
      </c>
      <c r="J40">
        <v>2.8</v>
      </c>
      <c r="K40">
        <v>0</v>
      </c>
      <c r="L40">
        <v>0</v>
      </c>
    </row>
    <row r="41" spans="1:12" x14ac:dyDescent="0.2">
      <c r="A41" t="s">
        <v>113</v>
      </c>
      <c r="B41" t="s">
        <v>42</v>
      </c>
      <c r="C41">
        <v>154</v>
      </c>
      <c r="D41">
        <v>161</v>
      </c>
      <c r="E41" s="1">
        <v>0.26900000000000002</v>
      </c>
      <c r="F41">
        <v>26</v>
      </c>
      <c r="G41" s="2">
        <v>760000</v>
      </c>
      <c r="H41" s="7">
        <f t="shared" si="0"/>
        <v>98</v>
      </c>
      <c r="I41" t="s">
        <v>121</v>
      </c>
      <c r="J41">
        <v>4.5</v>
      </c>
      <c r="K41">
        <v>0</v>
      </c>
      <c r="L41">
        <v>0</v>
      </c>
    </row>
    <row r="42" spans="1:12" x14ac:dyDescent="0.2">
      <c r="A42" t="s">
        <v>127</v>
      </c>
      <c r="B42" t="s">
        <v>70</v>
      </c>
      <c r="C42">
        <v>135</v>
      </c>
      <c r="D42">
        <v>138</v>
      </c>
      <c r="E42" s="1">
        <v>0.26800000000000002</v>
      </c>
      <c r="F42">
        <v>27</v>
      </c>
      <c r="G42" s="2">
        <v>13000000</v>
      </c>
      <c r="H42" s="7">
        <f t="shared" si="0"/>
        <v>45</v>
      </c>
      <c r="I42" t="s">
        <v>141</v>
      </c>
      <c r="J42">
        <v>1.9</v>
      </c>
      <c r="K42">
        <v>0</v>
      </c>
      <c r="L42">
        <v>0</v>
      </c>
    </row>
    <row r="43" spans="1:12" x14ac:dyDescent="0.2">
      <c r="A43" t="s">
        <v>150</v>
      </c>
      <c r="B43" t="s">
        <v>89</v>
      </c>
      <c r="C43">
        <v>150</v>
      </c>
      <c r="D43">
        <v>164</v>
      </c>
      <c r="E43" s="1">
        <v>0.28100000000000003</v>
      </c>
      <c r="F43">
        <v>30</v>
      </c>
      <c r="G43" s="2">
        <v>24000000</v>
      </c>
      <c r="H43" s="7">
        <f t="shared" si="0"/>
        <v>21</v>
      </c>
      <c r="I43" t="s">
        <v>186</v>
      </c>
      <c r="J43">
        <v>6</v>
      </c>
      <c r="K43">
        <v>0</v>
      </c>
      <c r="L43">
        <v>0</v>
      </c>
    </row>
    <row r="44" spans="1:12" x14ac:dyDescent="0.2">
      <c r="A44" t="s">
        <v>23</v>
      </c>
      <c r="B44" t="s">
        <v>43</v>
      </c>
      <c r="C44">
        <v>130</v>
      </c>
      <c r="D44">
        <v>108</v>
      </c>
      <c r="E44" s="1">
        <v>0.23799999999999999</v>
      </c>
      <c r="F44">
        <v>22</v>
      </c>
      <c r="G44" s="2">
        <v>760000</v>
      </c>
      <c r="H44" s="7">
        <f t="shared" si="0"/>
        <v>98</v>
      </c>
      <c r="I44" t="s">
        <v>47</v>
      </c>
      <c r="J44">
        <v>2.6</v>
      </c>
      <c r="K44">
        <v>0</v>
      </c>
      <c r="L44">
        <v>0</v>
      </c>
    </row>
    <row r="45" spans="1:12" x14ac:dyDescent="0.2">
      <c r="A45" t="s">
        <v>101</v>
      </c>
      <c r="B45" t="s">
        <v>43</v>
      </c>
      <c r="C45">
        <v>158</v>
      </c>
      <c r="D45">
        <v>172</v>
      </c>
      <c r="E45" s="1">
        <v>0.27900000000000003</v>
      </c>
      <c r="F45">
        <v>29</v>
      </c>
      <c r="G45" s="2">
        <v>34100000</v>
      </c>
      <c r="H45" s="7">
        <f t="shared" si="0"/>
        <v>4</v>
      </c>
      <c r="I45" t="s">
        <v>121</v>
      </c>
      <c r="J45">
        <v>6.3</v>
      </c>
      <c r="K45">
        <v>0</v>
      </c>
      <c r="L45">
        <v>0</v>
      </c>
    </row>
    <row r="46" spans="1:12" x14ac:dyDescent="0.2">
      <c r="A46" t="s">
        <v>48</v>
      </c>
      <c r="B46" t="s">
        <v>28</v>
      </c>
      <c r="C46">
        <v>156</v>
      </c>
      <c r="D46">
        <v>190</v>
      </c>
      <c r="E46" s="1">
        <v>0.30399999999999999</v>
      </c>
      <c r="F46">
        <v>28</v>
      </c>
      <c r="G46" s="2">
        <v>27000000</v>
      </c>
      <c r="H46" s="7">
        <f t="shared" si="0"/>
        <v>13</v>
      </c>
      <c r="I46" t="s">
        <v>76</v>
      </c>
      <c r="J46">
        <v>5.5</v>
      </c>
      <c r="K46">
        <v>1</v>
      </c>
      <c r="L46">
        <v>0</v>
      </c>
    </row>
    <row r="47" spans="1:12" x14ac:dyDescent="0.2">
      <c r="A47" t="s">
        <v>13</v>
      </c>
      <c r="B47" t="s">
        <v>33</v>
      </c>
      <c r="C47">
        <v>139</v>
      </c>
      <c r="D47">
        <v>147</v>
      </c>
      <c r="E47" s="1">
        <v>0.28499999999999998</v>
      </c>
      <c r="F47">
        <v>9</v>
      </c>
      <c r="G47" s="2">
        <v>760000</v>
      </c>
      <c r="H47" s="7">
        <f t="shared" si="0"/>
        <v>98</v>
      </c>
      <c r="I47" t="s">
        <v>47</v>
      </c>
      <c r="J47">
        <v>3.6</v>
      </c>
      <c r="K47">
        <v>0</v>
      </c>
      <c r="L47">
        <v>0</v>
      </c>
    </row>
    <row r="48" spans="1:12" x14ac:dyDescent="0.2">
      <c r="A48" t="s">
        <v>153</v>
      </c>
      <c r="B48" t="s">
        <v>37</v>
      </c>
      <c r="C48">
        <v>148</v>
      </c>
      <c r="D48">
        <v>152</v>
      </c>
      <c r="E48" s="1">
        <v>0.27</v>
      </c>
      <c r="F48">
        <v>23</v>
      </c>
      <c r="G48" s="2">
        <v>25000000</v>
      </c>
      <c r="H48" s="7">
        <f t="shared" si="0"/>
        <v>17</v>
      </c>
      <c r="I48" t="s">
        <v>186</v>
      </c>
      <c r="J48">
        <v>3.2</v>
      </c>
      <c r="K48">
        <v>0</v>
      </c>
      <c r="L48">
        <v>1</v>
      </c>
    </row>
    <row r="49" spans="1:12" x14ac:dyDescent="0.2">
      <c r="A49" t="s">
        <v>125</v>
      </c>
      <c r="B49" t="s">
        <v>65</v>
      </c>
      <c r="C49">
        <v>140</v>
      </c>
      <c r="D49">
        <v>128</v>
      </c>
      <c r="E49" s="1">
        <v>0.246</v>
      </c>
      <c r="F49">
        <v>35</v>
      </c>
      <c r="G49" s="2">
        <v>32000000</v>
      </c>
      <c r="H49" s="7">
        <f t="shared" si="0"/>
        <v>7</v>
      </c>
      <c r="I49" t="s">
        <v>141</v>
      </c>
      <c r="J49">
        <v>2.1</v>
      </c>
      <c r="K49">
        <v>0</v>
      </c>
      <c r="L49">
        <v>0</v>
      </c>
    </row>
    <row r="50" spans="1:12" x14ac:dyDescent="0.2">
      <c r="A50" t="s">
        <v>80</v>
      </c>
      <c r="B50" t="s">
        <v>65</v>
      </c>
      <c r="C50">
        <v>146</v>
      </c>
      <c r="D50">
        <v>152</v>
      </c>
      <c r="E50" s="1">
        <v>0.26600000000000001</v>
      </c>
      <c r="F50">
        <v>25</v>
      </c>
      <c r="G50" s="2">
        <v>14900000</v>
      </c>
      <c r="H50" s="7">
        <f t="shared" si="0"/>
        <v>43</v>
      </c>
      <c r="I50" t="s">
        <v>100</v>
      </c>
      <c r="J50">
        <v>3.2</v>
      </c>
      <c r="K50">
        <v>0</v>
      </c>
      <c r="L50">
        <v>0</v>
      </c>
    </row>
    <row r="51" spans="1:12" x14ac:dyDescent="0.2">
      <c r="A51" t="s">
        <v>134</v>
      </c>
      <c r="B51" t="s">
        <v>83</v>
      </c>
      <c r="C51">
        <v>138</v>
      </c>
      <c r="D51">
        <v>144</v>
      </c>
      <c r="E51" s="1">
        <v>0.27800000000000002</v>
      </c>
      <c r="F51">
        <v>14</v>
      </c>
      <c r="G51" s="2">
        <v>2200000</v>
      </c>
      <c r="H51" s="7">
        <f t="shared" si="0"/>
        <v>94</v>
      </c>
      <c r="I51" t="s">
        <v>141</v>
      </c>
      <c r="J51">
        <v>1.5</v>
      </c>
      <c r="K51">
        <v>0</v>
      </c>
      <c r="L51">
        <v>0</v>
      </c>
    </row>
    <row r="52" spans="1:12" x14ac:dyDescent="0.2">
      <c r="A52" t="s">
        <v>180</v>
      </c>
      <c r="B52" t="s">
        <v>43</v>
      </c>
      <c r="C52">
        <v>120</v>
      </c>
      <c r="D52">
        <v>110</v>
      </c>
      <c r="E52" s="1">
        <v>0.252</v>
      </c>
      <c r="F52">
        <v>10</v>
      </c>
      <c r="G52" s="2">
        <v>4950000</v>
      </c>
      <c r="H52" s="7">
        <f t="shared" si="0"/>
        <v>84</v>
      </c>
      <c r="I52" t="s">
        <v>187</v>
      </c>
      <c r="J52">
        <v>1.2</v>
      </c>
      <c r="K52">
        <v>0</v>
      </c>
      <c r="L52">
        <v>0</v>
      </c>
    </row>
    <row r="53" spans="1:12" x14ac:dyDescent="0.2">
      <c r="A53" t="s">
        <v>97</v>
      </c>
      <c r="B53" t="s">
        <v>89</v>
      </c>
      <c r="C53">
        <v>148</v>
      </c>
      <c r="D53">
        <v>146</v>
      </c>
      <c r="E53" s="1">
        <v>0.26800000000000002</v>
      </c>
      <c r="F53">
        <v>19</v>
      </c>
      <c r="G53" s="2">
        <v>8000000</v>
      </c>
      <c r="H53" s="7">
        <f t="shared" si="0"/>
        <v>73</v>
      </c>
      <c r="I53" t="s">
        <v>121</v>
      </c>
      <c r="J53">
        <v>3.6</v>
      </c>
      <c r="K53">
        <v>0</v>
      </c>
      <c r="L53">
        <v>0</v>
      </c>
    </row>
    <row r="54" spans="1:12" x14ac:dyDescent="0.2">
      <c r="A54" t="s">
        <v>20</v>
      </c>
      <c r="B54" t="s">
        <v>40</v>
      </c>
      <c r="C54">
        <v>138</v>
      </c>
      <c r="D54">
        <v>124</v>
      </c>
      <c r="E54" s="1">
        <v>0.24199999999999999</v>
      </c>
      <c r="F54">
        <v>18</v>
      </c>
      <c r="G54" s="2">
        <v>760000</v>
      </c>
      <c r="H54" s="7">
        <f t="shared" si="0"/>
        <v>98</v>
      </c>
      <c r="I54" t="s">
        <v>47</v>
      </c>
      <c r="J54">
        <v>2.2000000000000002</v>
      </c>
      <c r="K54">
        <v>0</v>
      </c>
      <c r="L54">
        <v>1</v>
      </c>
    </row>
    <row r="55" spans="1:12" x14ac:dyDescent="0.2">
      <c r="A55" t="s">
        <v>166</v>
      </c>
      <c r="B55" t="s">
        <v>38</v>
      </c>
      <c r="C55">
        <v>140</v>
      </c>
      <c r="D55">
        <v>134</v>
      </c>
      <c r="E55" s="1">
        <v>0.25800000000000001</v>
      </c>
      <c r="F55">
        <v>19</v>
      </c>
      <c r="G55" s="2">
        <v>760000</v>
      </c>
      <c r="H55" s="7">
        <f t="shared" si="0"/>
        <v>98</v>
      </c>
      <c r="I55" t="s">
        <v>186</v>
      </c>
      <c r="J55">
        <v>1.7</v>
      </c>
      <c r="K55">
        <v>0</v>
      </c>
      <c r="L55">
        <v>0</v>
      </c>
    </row>
    <row r="56" spans="1:12" x14ac:dyDescent="0.2">
      <c r="A56" t="s">
        <v>136</v>
      </c>
      <c r="B56" t="s">
        <v>29</v>
      </c>
      <c r="C56">
        <v>136</v>
      </c>
      <c r="D56">
        <v>132</v>
      </c>
      <c r="E56" s="1">
        <v>0.25900000000000001</v>
      </c>
      <c r="F56">
        <v>23</v>
      </c>
      <c r="G56" s="2">
        <v>8200000</v>
      </c>
      <c r="H56" s="7">
        <f t="shared" si="0"/>
        <v>72</v>
      </c>
      <c r="I56" t="s">
        <v>187</v>
      </c>
      <c r="J56">
        <v>1.8</v>
      </c>
      <c r="K56">
        <v>0</v>
      </c>
      <c r="L56">
        <v>0</v>
      </c>
    </row>
    <row r="57" spans="1:12" x14ac:dyDescent="0.2">
      <c r="A57" t="s">
        <v>161</v>
      </c>
      <c r="B57" t="s">
        <v>86</v>
      </c>
      <c r="C57">
        <v>148</v>
      </c>
      <c r="D57">
        <v>149</v>
      </c>
      <c r="E57" s="1">
        <v>0.26600000000000001</v>
      </c>
      <c r="F57">
        <v>20</v>
      </c>
      <c r="G57" s="2">
        <v>20000000</v>
      </c>
      <c r="H57" s="7">
        <f t="shared" si="0"/>
        <v>26</v>
      </c>
      <c r="I57" t="s">
        <v>186</v>
      </c>
      <c r="J57">
        <v>3</v>
      </c>
      <c r="K57">
        <v>0</v>
      </c>
      <c r="L57">
        <v>0</v>
      </c>
    </row>
    <row r="58" spans="1:12" x14ac:dyDescent="0.2">
      <c r="A58" t="s">
        <v>126</v>
      </c>
      <c r="B58" t="s">
        <v>43</v>
      </c>
      <c r="C58">
        <v>142</v>
      </c>
      <c r="D58">
        <v>150</v>
      </c>
      <c r="E58" s="1">
        <v>0.27200000000000002</v>
      </c>
      <c r="F58">
        <v>33</v>
      </c>
      <c r="G58" s="2">
        <v>12000000</v>
      </c>
      <c r="H58" s="7">
        <f t="shared" si="0"/>
        <v>50</v>
      </c>
      <c r="I58" t="s">
        <v>141</v>
      </c>
      <c r="J58">
        <v>2.8</v>
      </c>
      <c r="K58">
        <v>0</v>
      </c>
      <c r="L58">
        <v>0</v>
      </c>
    </row>
    <row r="59" spans="1:12" x14ac:dyDescent="0.2">
      <c r="A59" t="s">
        <v>115</v>
      </c>
      <c r="B59" t="s">
        <v>30</v>
      </c>
      <c r="C59">
        <v>147</v>
      </c>
      <c r="D59">
        <v>144</v>
      </c>
      <c r="E59" s="1">
        <v>0.26</v>
      </c>
      <c r="F59">
        <v>17</v>
      </c>
      <c r="G59" s="2">
        <v>11500000</v>
      </c>
      <c r="H59" s="7">
        <f t="shared" si="0"/>
        <v>56</v>
      </c>
      <c r="I59" t="s">
        <v>121</v>
      </c>
      <c r="J59">
        <v>3.1</v>
      </c>
      <c r="K59">
        <v>0</v>
      </c>
      <c r="L59">
        <v>0</v>
      </c>
    </row>
    <row r="60" spans="1:12" x14ac:dyDescent="0.2">
      <c r="A60" t="s">
        <v>7</v>
      </c>
      <c r="B60" t="s">
        <v>27</v>
      </c>
      <c r="C60">
        <v>128</v>
      </c>
      <c r="D60">
        <v>120</v>
      </c>
      <c r="E60" s="1">
        <v>0.25700000000000001</v>
      </c>
      <c r="F60">
        <v>12</v>
      </c>
      <c r="G60" s="2">
        <v>23100000</v>
      </c>
      <c r="H60" s="7">
        <f t="shared" si="0"/>
        <v>22</v>
      </c>
      <c r="I60" t="s">
        <v>47</v>
      </c>
      <c r="J60">
        <v>3.4</v>
      </c>
      <c r="K60">
        <v>0</v>
      </c>
      <c r="L60">
        <v>0</v>
      </c>
    </row>
    <row r="61" spans="1:12" x14ac:dyDescent="0.2">
      <c r="A61" t="s">
        <v>167</v>
      </c>
      <c r="B61" t="s">
        <v>40</v>
      </c>
      <c r="C61">
        <v>145</v>
      </c>
      <c r="D61">
        <v>136</v>
      </c>
      <c r="E61" s="1">
        <v>0.251</v>
      </c>
      <c r="F61">
        <v>26</v>
      </c>
      <c r="G61" s="2">
        <v>760000</v>
      </c>
      <c r="H61" s="7">
        <f t="shared" si="0"/>
        <v>98</v>
      </c>
      <c r="I61" t="s">
        <v>186</v>
      </c>
      <c r="J61">
        <v>2.2999999999999998</v>
      </c>
      <c r="K61">
        <v>0</v>
      </c>
      <c r="L61">
        <v>0</v>
      </c>
    </row>
    <row r="62" spans="1:12" x14ac:dyDescent="0.2">
      <c r="A62" t="s">
        <v>91</v>
      </c>
      <c r="B62" t="s">
        <v>89</v>
      </c>
      <c r="C62">
        <v>147</v>
      </c>
      <c r="D62">
        <v>145</v>
      </c>
      <c r="E62" s="1">
        <v>0.26300000000000001</v>
      </c>
      <c r="F62">
        <v>13</v>
      </c>
      <c r="G62" s="2">
        <v>11500000</v>
      </c>
      <c r="H62" s="7">
        <f t="shared" si="0"/>
        <v>56</v>
      </c>
      <c r="I62" t="s">
        <v>100</v>
      </c>
      <c r="J62">
        <v>2.8</v>
      </c>
      <c r="K62">
        <v>0</v>
      </c>
      <c r="L62">
        <v>0</v>
      </c>
    </row>
    <row r="63" spans="1:12" x14ac:dyDescent="0.2">
      <c r="A63" t="s">
        <v>171</v>
      </c>
      <c r="B63" t="s">
        <v>41</v>
      </c>
      <c r="C63">
        <v>140</v>
      </c>
      <c r="D63">
        <v>138</v>
      </c>
      <c r="E63" s="1">
        <v>0.26200000000000001</v>
      </c>
      <c r="F63">
        <v>18</v>
      </c>
      <c r="G63" s="2">
        <v>760000</v>
      </c>
      <c r="H63" s="7">
        <f t="shared" si="0"/>
        <v>98</v>
      </c>
      <c r="I63" t="s">
        <v>186</v>
      </c>
      <c r="J63">
        <v>2.1</v>
      </c>
      <c r="K63">
        <v>0</v>
      </c>
      <c r="L63">
        <v>0</v>
      </c>
    </row>
    <row r="64" spans="1:12" x14ac:dyDescent="0.2">
      <c r="A64" t="s">
        <v>185</v>
      </c>
      <c r="B64" t="s">
        <v>28</v>
      </c>
      <c r="C64">
        <v>120</v>
      </c>
      <c r="D64">
        <v>114</v>
      </c>
      <c r="E64" s="1">
        <v>0.255</v>
      </c>
      <c r="F64">
        <v>11</v>
      </c>
      <c r="G64" s="2">
        <v>9000000</v>
      </c>
      <c r="H64" s="7">
        <f t="shared" si="0"/>
        <v>67</v>
      </c>
      <c r="I64" t="s">
        <v>186</v>
      </c>
      <c r="J64">
        <v>1.1000000000000001</v>
      </c>
      <c r="K64">
        <v>0</v>
      </c>
      <c r="L64">
        <v>0</v>
      </c>
    </row>
    <row r="65" spans="1:12" x14ac:dyDescent="0.2">
      <c r="A65" t="s">
        <v>90</v>
      </c>
      <c r="B65" t="s">
        <v>43</v>
      </c>
      <c r="C65">
        <v>140</v>
      </c>
      <c r="D65">
        <v>142</v>
      </c>
      <c r="E65" s="1">
        <v>0.26700000000000002</v>
      </c>
      <c r="F65">
        <v>11</v>
      </c>
      <c r="G65" s="2">
        <v>12500000</v>
      </c>
      <c r="H65" s="7">
        <f t="shared" si="0"/>
        <v>49</v>
      </c>
      <c r="I65" t="s">
        <v>100</v>
      </c>
      <c r="J65">
        <v>2.7</v>
      </c>
      <c r="K65">
        <v>0</v>
      </c>
      <c r="L65">
        <v>0</v>
      </c>
    </row>
    <row r="66" spans="1:12" x14ac:dyDescent="0.2">
      <c r="A66" t="s">
        <v>111</v>
      </c>
      <c r="B66" t="s">
        <v>36</v>
      </c>
      <c r="C66">
        <v>153</v>
      </c>
      <c r="D66">
        <v>160</v>
      </c>
      <c r="E66" s="1">
        <v>0.26800000000000002</v>
      </c>
      <c r="F66">
        <v>19</v>
      </c>
      <c r="G66" s="2">
        <v>760000</v>
      </c>
      <c r="H66" s="7">
        <f t="shared" si="0"/>
        <v>98</v>
      </c>
      <c r="I66" t="s">
        <v>121</v>
      </c>
      <c r="J66">
        <v>3.5</v>
      </c>
      <c r="K66">
        <v>0</v>
      </c>
      <c r="L66">
        <v>0</v>
      </c>
    </row>
    <row r="67" spans="1:12" x14ac:dyDescent="0.2">
      <c r="A67" t="s">
        <v>139</v>
      </c>
      <c r="B67" t="s">
        <v>30</v>
      </c>
      <c r="C67">
        <v>128</v>
      </c>
      <c r="D67">
        <v>122</v>
      </c>
      <c r="E67" s="1">
        <v>0.255</v>
      </c>
      <c r="F67">
        <v>18</v>
      </c>
      <c r="G67" s="2">
        <v>8000000</v>
      </c>
      <c r="H67" s="7">
        <f t="shared" ref="H67:H130" si="1">_xlfn.RANK.EQ(G67,$G$2:$G$141,0)</f>
        <v>73</v>
      </c>
      <c r="I67" t="s">
        <v>141</v>
      </c>
      <c r="J67">
        <v>1.3</v>
      </c>
      <c r="K67">
        <v>0</v>
      </c>
      <c r="L67">
        <v>0</v>
      </c>
    </row>
    <row r="68" spans="1:12" x14ac:dyDescent="0.2">
      <c r="A68" t="s">
        <v>164</v>
      </c>
      <c r="B68" t="s">
        <v>165</v>
      </c>
      <c r="C68">
        <v>138</v>
      </c>
      <c r="D68">
        <v>122</v>
      </c>
      <c r="E68" s="1">
        <v>0.23499999999999999</v>
      </c>
      <c r="F68">
        <v>28</v>
      </c>
      <c r="G68" s="2">
        <v>11000000</v>
      </c>
      <c r="H68" s="7">
        <f t="shared" si="1"/>
        <v>61</v>
      </c>
      <c r="I68" t="s">
        <v>186</v>
      </c>
      <c r="J68">
        <v>2</v>
      </c>
      <c r="K68">
        <v>0</v>
      </c>
      <c r="L68">
        <v>0</v>
      </c>
    </row>
    <row r="69" spans="1:12" x14ac:dyDescent="0.2">
      <c r="A69" t="s">
        <v>131</v>
      </c>
      <c r="B69" t="s">
        <v>35</v>
      </c>
      <c r="C69">
        <v>145</v>
      </c>
      <c r="D69">
        <v>150</v>
      </c>
      <c r="E69" s="1">
        <v>0.27</v>
      </c>
      <c r="F69">
        <v>20</v>
      </c>
      <c r="G69" s="2">
        <v>760000</v>
      </c>
      <c r="H69" s="7">
        <f t="shared" si="1"/>
        <v>98</v>
      </c>
      <c r="I69" t="s">
        <v>141</v>
      </c>
      <c r="J69">
        <v>1.4</v>
      </c>
      <c r="K69">
        <v>0</v>
      </c>
      <c r="L69">
        <v>0</v>
      </c>
    </row>
    <row r="70" spans="1:12" x14ac:dyDescent="0.2">
      <c r="A70" t="s">
        <v>14</v>
      </c>
      <c r="B70" t="s">
        <v>34</v>
      </c>
      <c r="C70">
        <v>135</v>
      </c>
      <c r="D70">
        <v>110</v>
      </c>
      <c r="E70" s="1">
        <v>0.21299999999999999</v>
      </c>
      <c r="F70">
        <v>11</v>
      </c>
      <c r="G70" s="2">
        <v>760000</v>
      </c>
      <c r="H70" s="7">
        <f t="shared" si="1"/>
        <v>98</v>
      </c>
      <c r="I70" t="s">
        <v>47</v>
      </c>
      <c r="J70">
        <v>2.5</v>
      </c>
      <c r="K70">
        <v>0</v>
      </c>
      <c r="L70">
        <v>0</v>
      </c>
    </row>
    <row r="71" spans="1:12" x14ac:dyDescent="0.2">
      <c r="A71" t="s">
        <v>84</v>
      </c>
      <c r="B71" t="s">
        <v>42</v>
      </c>
      <c r="C71">
        <v>142</v>
      </c>
      <c r="D71">
        <v>138</v>
      </c>
      <c r="E71" s="1">
        <v>0.26</v>
      </c>
      <c r="F71">
        <v>18</v>
      </c>
      <c r="G71" s="2">
        <v>760000</v>
      </c>
      <c r="H71" s="7">
        <f t="shared" si="1"/>
        <v>98</v>
      </c>
      <c r="I71" t="s">
        <v>100</v>
      </c>
      <c r="J71">
        <v>2.1</v>
      </c>
      <c r="K71">
        <v>0</v>
      </c>
      <c r="L71">
        <v>0</v>
      </c>
    </row>
    <row r="72" spans="1:12" x14ac:dyDescent="0.2">
      <c r="A72" t="s">
        <v>75</v>
      </c>
      <c r="B72" t="s">
        <v>36</v>
      </c>
      <c r="C72">
        <v>120</v>
      </c>
      <c r="D72">
        <v>108</v>
      </c>
      <c r="E72" s="1">
        <v>0.24</v>
      </c>
      <c r="F72">
        <v>18</v>
      </c>
      <c r="G72" s="2">
        <v>19000000</v>
      </c>
      <c r="H72" s="7">
        <f t="shared" si="1"/>
        <v>34</v>
      </c>
      <c r="I72" t="s">
        <v>76</v>
      </c>
      <c r="J72">
        <v>0.9</v>
      </c>
      <c r="K72">
        <v>0</v>
      </c>
      <c r="L72">
        <v>0</v>
      </c>
    </row>
    <row r="73" spans="1:12" x14ac:dyDescent="0.2">
      <c r="A73" t="s">
        <v>77</v>
      </c>
      <c r="B73" t="s">
        <v>36</v>
      </c>
      <c r="C73">
        <v>145</v>
      </c>
      <c r="D73">
        <v>165</v>
      </c>
      <c r="E73" s="1">
        <v>0.29199999999999998</v>
      </c>
      <c r="F73">
        <v>22</v>
      </c>
      <c r="G73" s="2">
        <v>29000000</v>
      </c>
      <c r="H73" s="7">
        <f t="shared" si="1"/>
        <v>12</v>
      </c>
      <c r="I73" t="s">
        <v>187</v>
      </c>
      <c r="J73">
        <v>4.7</v>
      </c>
      <c r="K73">
        <v>0</v>
      </c>
      <c r="L73">
        <v>0</v>
      </c>
    </row>
    <row r="74" spans="1:12" x14ac:dyDescent="0.2">
      <c r="A74" t="s">
        <v>59</v>
      </c>
      <c r="B74" t="s">
        <v>60</v>
      </c>
      <c r="C74">
        <v>140</v>
      </c>
      <c r="D74">
        <v>134</v>
      </c>
      <c r="E74" s="1">
        <v>0.255</v>
      </c>
      <c r="F74">
        <v>22</v>
      </c>
      <c r="G74" s="2">
        <v>16500000</v>
      </c>
      <c r="H74" s="7">
        <f t="shared" si="1"/>
        <v>38</v>
      </c>
      <c r="I74" t="s">
        <v>76</v>
      </c>
      <c r="J74">
        <v>1.8</v>
      </c>
      <c r="K74">
        <v>0</v>
      </c>
      <c r="L74">
        <v>0</v>
      </c>
    </row>
    <row r="75" spans="1:12" x14ac:dyDescent="0.2">
      <c r="A75" t="s">
        <v>133</v>
      </c>
      <c r="B75" t="s">
        <v>38</v>
      </c>
      <c r="C75">
        <v>146</v>
      </c>
      <c r="D75">
        <v>155</v>
      </c>
      <c r="E75" s="1">
        <v>0.28399999999999997</v>
      </c>
      <c r="F75">
        <v>26</v>
      </c>
      <c r="G75" s="2">
        <v>760000</v>
      </c>
      <c r="H75" s="7">
        <f t="shared" si="1"/>
        <v>98</v>
      </c>
      <c r="I75" t="s">
        <v>141</v>
      </c>
      <c r="J75">
        <v>2.9</v>
      </c>
      <c r="K75">
        <v>1</v>
      </c>
      <c r="L75">
        <v>0</v>
      </c>
    </row>
    <row r="76" spans="1:12" x14ac:dyDescent="0.2">
      <c r="A76" t="s">
        <v>143</v>
      </c>
      <c r="B76" t="s">
        <v>65</v>
      </c>
      <c r="C76">
        <v>158</v>
      </c>
      <c r="D76">
        <v>178</v>
      </c>
      <c r="E76" s="1">
        <v>0.307</v>
      </c>
      <c r="F76">
        <v>39</v>
      </c>
      <c r="G76" s="2">
        <v>31000000</v>
      </c>
      <c r="H76" s="7">
        <f t="shared" si="1"/>
        <v>9</v>
      </c>
      <c r="I76" t="s">
        <v>186</v>
      </c>
      <c r="J76">
        <v>7.4</v>
      </c>
      <c r="K76">
        <v>0</v>
      </c>
      <c r="L76">
        <v>0</v>
      </c>
    </row>
    <row r="77" spans="1:12" x14ac:dyDescent="0.2">
      <c r="A77" t="s">
        <v>149</v>
      </c>
      <c r="B77" t="s">
        <v>30</v>
      </c>
      <c r="C77">
        <v>157</v>
      </c>
      <c r="D77">
        <v>172</v>
      </c>
      <c r="E77" s="1">
        <v>0.29099999999999998</v>
      </c>
      <c r="F77">
        <v>32</v>
      </c>
      <c r="G77" s="2">
        <v>12000000</v>
      </c>
      <c r="H77" s="7">
        <f t="shared" si="1"/>
        <v>50</v>
      </c>
      <c r="I77" t="s">
        <v>186</v>
      </c>
      <c r="J77">
        <v>6.8</v>
      </c>
      <c r="K77">
        <v>0</v>
      </c>
      <c r="L77">
        <v>0</v>
      </c>
    </row>
    <row r="78" spans="1:12" x14ac:dyDescent="0.2">
      <c r="A78" t="s">
        <v>130</v>
      </c>
      <c r="B78" t="s">
        <v>37</v>
      </c>
      <c r="C78">
        <v>132</v>
      </c>
      <c r="D78">
        <v>128</v>
      </c>
      <c r="E78" s="1">
        <v>0.26</v>
      </c>
      <c r="F78">
        <v>18</v>
      </c>
      <c r="G78" s="2">
        <v>13000000</v>
      </c>
      <c r="H78" s="7">
        <f t="shared" si="1"/>
        <v>45</v>
      </c>
      <c r="I78" t="s">
        <v>141</v>
      </c>
      <c r="J78">
        <v>1.7</v>
      </c>
      <c r="K78">
        <v>0</v>
      </c>
      <c r="L78">
        <v>0</v>
      </c>
    </row>
    <row r="79" spans="1:12" x14ac:dyDescent="0.2">
      <c r="A79" t="s">
        <v>15</v>
      </c>
      <c r="B79" t="s">
        <v>35</v>
      </c>
      <c r="C79">
        <v>141</v>
      </c>
      <c r="D79">
        <v>125</v>
      </c>
      <c r="E79" s="1">
        <v>0.247</v>
      </c>
      <c r="F79">
        <v>2</v>
      </c>
      <c r="G79" s="2">
        <v>6000000</v>
      </c>
      <c r="H79" s="7">
        <f t="shared" si="1"/>
        <v>79</v>
      </c>
      <c r="I79" t="s">
        <v>47</v>
      </c>
      <c r="J79">
        <v>1.2</v>
      </c>
      <c r="K79">
        <v>0</v>
      </c>
      <c r="L79">
        <v>0</v>
      </c>
    </row>
    <row r="80" spans="1:12" x14ac:dyDescent="0.2">
      <c r="A80" t="s">
        <v>81</v>
      </c>
      <c r="B80" t="s">
        <v>33</v>
      </c>
      <c r="C80">
        <v>154</v>
      </c>
      <c r="D80">
        <v>168</v>
      </c>
      <c r="E80" s="1">
        <v>0.28299999999999997</v>
      </c>
      <c r="F80">
        <v>26</v>
      </c>
      <c r="G80" s="2">
        <v>11000000</v>
      </c>
      <c r="H80" s="7">
        <f t="shared" si="1"/>
        <v>61</v>
      </c>
      <c r="I80" t="s">
        <v>100</v>
      </c>
      <c r="J80">
        <v>4.3</v>
      </c>
      <c r="K80">
        <v>0</v>
      </c>
      <c r="L80">
        <v>0</v>
      </c>
    </row>
    <row r="81" spans="1:12" x14ac:dyDescent="0.2">
      <c r="A81" t="s">
        <v>170</v>
      </c>
      <c r="B81" t="s">
        <v>29</v>
      </c>
      <c r="C81">
        <v>142</v>
      </c>
      <c r="D81">
        <v>135</v>
      </c>
      <c r="E81" s="1">
        <v>0.25900000000000001</v>
      </c>
      <c r="F81">
        <v>14</v>
      </c>
      <c r="G81" s="2">
        <v>760000</v>
      </c>
      <c r="H81" s="7">
        <f t="shared" si="1"/>
        <v>98</v>
      </c>
      <c r="I81" t="s">
        <v>187</v>
      </c>
      <c r="J81">
        <v>1.8</v>
      </c>
      <c r="K81">
        <v>0</v>
      </c>
      <c r="L81">
        <v>0</v>
      </c>
    </row>
    <row r="82" spans="1:12" x14ac:dyDescent="0.2">
      <c r="A82" t="s">
        <v>123</v>
      </c>
      <c r="B82" t="s">
        <v>27</v>
      </c>
      <c r="C82">
        <v>154</v>
      </c>
      <c r="D82">
        <v>130</v>
      </c>
      <c r="E82" s="1">
        <v>0.23100000000000001</v>
      </c>
      <c r="F82">
        <v>56</v>
      </c>
      <c r="G82" s="2">
        <v>20000000</v>
      </c>
      <c r="H82" s="7">
        <f t="shared" si="1"/>
        <v>26</v>
      </c>
      <c r="I82" t="s">
        <v>186</v>
      </c>
      <c r="J82">
        <v>3.6</v>
      </c>
      <c r="K82">
        <v>0</v>
      </c>
      <c r="L82">
        <v>0</v>
      </c>
    </row>
    <row r="83" spans="1:12" x14ac:dyDescent="0.2">
      <c r="A83" t="s">
        <v>146</v>
      </c>
      <c r="B83" t="s">
        <v>36</v>
      </c>
      <c r="C83">
        <v>155</v>
      </c>
      <c r="D83">
        <v>166</v>
      </c>
      <c r="E83" s="1">
        <v>0.28599999999999998</v>
      </c>
      <c r="F83">
        <v>34</v>
      </c>
      <c r="G83" s="2">
        <v>12000000</v>
      </c>
      <c r="H83" s="7">
        <f t="shared" si="1"/>
        <v>50</v>
      </c>
      <c r="I83" t="s">
        <v>186</v>
      </c>
      <c r="J83">
        <v>6.1</v>
      </c>
      <c r="K83">
        <v>0</v>
      </c>
      <c r="L83">
        <v>1</v>
      </c>
    </row>
    <row r="84" spans="1:12" x14ac:dyDescent="0.2">
      <c r="A84" t="s">
        <v>177</v>
      </c>
      <c r="B84" t="s">
        <v>35</v>
      </c>
      <c r="C84">
        <v>146</v>
      </c>
      <c r="D84">
        <v>148</v>
      </c>
      <c r="E84" s="1">
        <v>0.26800000000000002</v>
      </c>
      <c r="F84">
        <v>24</v>
      </c>
      <c r="G84" s="2">
        <v>4900000</v>
      </c>
      <c r="H84" s="7">
        <f t="shared" si="1"/>
        <v>85</v>
      </c>
      <c r="I84" t="s">
        <v>186</v>
      </c>
      <c r="J84">
        <v>2.8</v>
      </c>
      <c r="K84">
        <v>0</v>
      </c>
      <c r="L84">
        <v>0</v>
      </c>
    </row>
    <row r="85" spans="1:12" x14ac:dyDescent="0.2">
      <c r="A85" t="s">
        <v>163</v>
      </c>
      <c r="B85" t="s">
        <v>33</v>
      </c>
      <c r="C85">
        <v>147</v>
      </c>
      <c r="D85">
        <v>150</v>
      </c>
      <c r="E85" s="1">
        <v>0.26600000000000001</v>
      </c>
      <c r="F85">
        <v>22</v>
      </c>
      <c r="G85" s="2">
        <v>12000000</v>
      </c>
      <c r="H85" s="7">
        <f t="shared" si="1"/>
        <v>50</v>
      </c>
      <c r="I85" t="s">
        <v>186</v>
      </c>
      <c r="J85">
        <v>2.7</v>
      </c>
      <c r="K85">
        <v>0</v>
      </c>
      <c r="L85">
        <v>0</v>
      </c>
    </row>
    <row r="86" spans="1:12" x14ac:dyDescent="0.2">
      <c r="A86" t="s">
        <v>88</v>
      </c>
      <c r="B86" t="s">
        <v>89</v>
      </c>
      <c r="C86">
        <v>153</v>
      </c>
      <c r="D86">
        <v>201</v>
      </c>
      <c r="E86" s="1">
        <v>0.32900000000000001</v>
      </c>
      <c r="F86">
        <v>8</v>
      </c>
      <c r="G86" s="2">
        <v>10000000</v>
      </c>
      <c r="H86" s="7">
        <f t="shared" si="1"/>
        <v>64</v>
      </c>
      <c r="I86" t="s">
        <v>100</v>
      </c>
      <c r="J86">
        <v>4.5999999999999996</v>
      </c>
      <c r="K86">
        <v>0</v>
      </c>
      <c r="L86">
        <v>0</v>
      </c>
    </row>
    <row r="87" spans="1:12" x14ac:dyDescent="0.2">
      <c r="A87" t="s">
        <v>118</v>
      </c>
      <c r="B87" t="s">
        <v>35</v>
      </c>
      <c r="C87">
        <v>140</v>
      </c>
      <c r="D87">
        <v>136</v>
      </c>
      <c r="E87" s="1">
        <v>0.25900000000000001</v>
      </c>
      <c r="F87">
        <v>14</v>
      </c>
      <c r="G87" s="2">
        <v>760000</v>
      </c>
      <c r="H87" s="7">
        <f t="shared" si="1"/>
        <v>98</v>
      </c>
      <c r="I87" t="s">
        <v>121</v>
      </c>
      <c r="J87">
        <v>1.9</v>
      </c>
      <c r="K87">
        <v>0</v>
      </c>
      <c r="L87">
        <v>0</v>
      </c>
    </row>
    <row r="88" spans="1:12" x14ac:dyDescent="0.2">
      <c r="A88" t="s">
        <v>148</v>
      </c>
      <c r="B88" t="s">
        <v>70</v>
      </c>
      <c r="C88">
        <v>148</v>
      </c>
      <c r="D88">
        <v>160</v>
      </c>
      <c r="E88" s="1">
        <v>0.28799999999999998</v>
      </c>
      <c r="F88">
        <v>37</v>
      </c>
      <c r="G88" s="2">
        <v>8500000</v>
      </c>
      <c r="H88" s="7">
        <f t="shared" si="1"/>
        <v>71</v>
      </c>
      <c r="I88" t="s">
        <v>186</v>
      </c>
      <c r="J88">
        <v>5.4</v>
      </c>
      <c r="K88">
        <v>0</v>
      </c>
      <c r="L88">
        <v>0</v>
      </c>
    </row>
    <row r="89" spans="1:12" x14ac:dyDescent="0.2">
      <c r="A89" t="s">
        <v>72</v>
      </c>
      <c r="B89" t="s">
        <v>73</v>
      </c>
      <c r="C89">
        <v>100</v>
      </c>
      <c r="D89">
        <v>90</v>
      </c>
      <c r="E89" s="1">
        <v>0.23</v>
      </c>
      <c r="F89">
        <v>15</v>
      </c>
      <c r="G89" s="2">
        <v>2000000</v>
      </c>
      <c r="H89" s="7">
        <f t="shared" si="1"/>
        <v>95</v>
      </c>
      <c r="I89" t="s">
        <v>76</v>
      </c>
      <c r="J89">
        <v>0.5</v>
      </c>
      <c r="K89">
        <v>0</v>
      </c>
      <c r="L89">
        <v>0</v>
      </c>
    </row>
    <row r="90" spans="1:12" x14ac:dyDescent="0.2">
      <c r="A90" t="s">
        <v>172</v>
      </c>
      <c r="B90" t="s">
        <v>44</v>
      </c>
      <c r="C90">
        <v>132</v>
      </c>
      <c r="D90">
        <v>126</v>
      </c>
      <c r="E90" s="1">
        <v>0.25700000000000001</v>
      </c>
      <c r="F90">
        <v>12</v>
      </c>
      <c r="G90" s="2">
        <v>10000000</v>
      </c>
      <c r="H90" s="7">
        <f t="shared" si="1"/>
        <v>64</v>
      </c>
      <c r="I90" t="s">
        <v>186</v>
      </c>
      <c r="J90">
        <v>1.4</v>
      </c>
      <c r="K90">
        <v>0</v>
      </c>
      <c r="L90">
        <v>0</v>
      </c>
    </row>
    <row r="91" spans="1:12" x14ac:dyDescent="0.2">
      <c r="A91" t="s">
        <v>138</v>
      </c>
      <c r="B91" t="s">
        <v>41</v>
      </c>
      <c r="C91">
        <v>152</v>
      </c>
      <c r="D91">
        <v>155</v>
      </c>
      <c r="E91" s="1">
        <v>0.26800000000000002</v>
      </c>
      <c r="F91">
        <v>34</v>
      </c>
      <c r="G91" s="2">
        <v>16000000</v>
      </c>
      <c r="H91" s="7">
        <f t="shared" si="1"/>
        <v>39</v>
      </c>
      <c r="I91" t="s">
        <v>141</v>
      </c>
      <c r="J91">
        <v>2.9</v>
      </c>
      <c r="K91">
        <v>0</v>
      </c>
      <c r="L91">
        <v>0</v>
      </c>
    </row>
    <row r="92" spans="1:12" x14ac:dyDescent="0.2">
      <c r="A92" t="s">
        <v>117</v>
      </c>
      <c r="B92" t="s">
        <v>46</v>
      </c>
      <c r="C92">
        <v>125</v>
      </c>
      <c r="D92">
        <v>120</v>
      </c>
      <c r="E92" s="1">
        <v>0.252</v>
      </c>
      <c r="F92">
        <v>12</v>
      </c>
      <c r="G92" s="2">
        <v>760000</v>
      </c>
      <c r="H92" s="7">
        <f t="shared" si="1"/>
        <v>98</v>
      </c>
      <c r="I92" t="s">
        <v>121</v>
      </c>
      <c r="J92">
        <v>1.8</v>
      </c>
      <c r="K92">
        <v>0</v>
      </c>
      <c r="L92">
        <v>0</v>
      </c>
    </row>
    <row r="93" spans="1:12" x14ac:dyDescent="0.2">
      <c r="A93" t="s">
        <v>78</v>
      </c>
      <c r="B93" t="s">
        <v>34</v>
      </c>
      <c r="C93">
        <v>158</v>
      </c>
      <c r="D93">
        <v>180</v>
      </c>
      <c r="E93" s="1">
        <v>0.27800000000000002</v>
      </c>
      <c r="F93">
        <v>28</v>
      </c>
      <c r="G93" s="2">
        <v>25000000</v>
      </c>
      <c r="H93" s="7">
        <f t="shared" si="1"/>
        <v>17</v>
      </c>
      <c r="I93" t="s">
        <v>100</v>
      </c>
      <c r="J93">
        <v>5</v>
      </c>
      <c r="K93">
        <v>0</v>
      </c>
      <c r="L93">
        <v>0</v>
      </c>
    </row>
    <row r="94" spans="1:12" x14ac:dyDescent="0.2">
      <c r="A94" t="s">
        <v>169</v>
      </c>
      <c r="B94" t="s">
        <v>57</v>
      </c>
      <c r="C94">
        <v>139</v>
      </c>
      <c r="D94">
        <v>133</v>
      </c>
      <c r="E94" s="1">
        <v>0.26</v>
      </c>
      <c r="F94">
        <v>16</v>
      </c>
      <c r="G94" s="2">
        <v>11000000</v>
      </c>
      <c r="H94" s="7">
        <f t="shared" si="1"/>
        <v>61</v>
      </c>
      <c r="I94" t="s">
        <v>186</v>
      </c>
      <c r="J94">
        <v>1.5</v>
      </c>
      <c r="K94">
        <v>0</v>
      </c>
      <c r="L94">
        <v>0</v>
      </c>
    </row>
    <row r="95" spans="1:12" x14ac:dyDescent="0.2">
      <c r="A95" t="s">
        <v>53</v>
      </c>
      <c r="B95" t="s">
        <v>41</v>
      </c>
      <c r="C95">
        <v>158</v>
      </c>
      <c r="D95">
        <v>170</v>
      </c>
      <c r="E95" s="1">
        <v>0.27200000000000002</v>
      </c>
      <c r="F95">
        <v>44</v>
      </c>
      <c r="G95" s="2">
        <v>22000000</v>
      </c>
      <c r="H95" s="7">
        <f t="shared" si="1"/>
        <v>24</v>
      </c>
      <c r="I95" t="s">
        <v>76</v>
      </c>
      <c r="J95">
        <v>5</v>
      </c>
      <c r="K95">
        <v>0</v>
      </c>
      <c r="L95">
        <v>1</v>
      </c>
    </row>
    <row r="96" spans="1:12" x14ac:dyDescent="0.2">
      <c r="A96" t="s">
        <v>156</v>
      </c>
      <c r="B96" t="s">
        <v>41</v>
      </c>
      <c r="C96">
        <v>150</v>
      </c>
      <c r="D96">
        <v>158</v>
      </c>
      <c r="E96" s="1">
        <v>0.28499999999999998</v>
      </c>
      <c r="F96">
        <v>20</v>
      </c>
      <c r="G96" s="2">
        <v>5000000</v>
      </c>
      <c r="H96" s="7">
        <f t="shared" si="1"/>
        <v>83</v>
      </c>
      <c r="I96" t="s">
        <v>186</v>
      </c>
      <c r="J96">
        <v>4.4000000000000004</v>
      </c>
      <c r="K96">
        <v>0</v>
      </c>
      <c r="L96">
        <v>0</v>
      </c>
    </row>
    <row r="97" spans="1:12" x14ac:dyDescent="0.2">
      <c r="A97" t="s">
        <v>99</v>
      </c>
      <c r="B97" t="s">
        <v>29</v>
      </c>
      <c r="C97">
        <v>130</v>
      </c>
      <c r="D97">
        <v>119</v>
      </c>
      <c r="E97" s="1">
        <v>0.249</v>
      </c>
      <c r="F97">
        <v>17</v>
      </c>
      <c r="G97" s="2">
        <v>760000</v>
      </c>
      <c r="H97" s="7">
        <f t="shared" si="1"/>
        <v>98</v>
      </c>
      <c r="I97" t="s">
        <v>121</v>
      </c>
      <c r="J97">
        <v>1.9</v>
      </c>
      <c r="K97">
        <v>0</v>
      </c>
      <c r="L97">
        <v>0</v>
      </c>
    </row>
    <row r="98" spans="1:12" x14ac:dyDescent="0.2">
      <c r="A98" t="s">
        <v>129</v>
      </c>
      <c r="B98" t="s">
        <v>57</v>
      </c>
      <c r="C98">
        <v>118</v>
      </c>
      <c r="D98">
        <v>112</v>
      </c>
      <c r="E98" s="1">
        <v>0.25900000000000001</v>
      </c>
      <c r="F98">
        <v>15</v>
      </c>
      <c r="G98" s="2">
        <v>32000000</v>
      </c>
      <c r="H98" s="7">
        <f t="shared" si="1"/>
        <v>7</v>
      </c>
      <c r="I98" t="s">
        <v>141</v>
      </c>
      <c r="J98">
        <v>0</v>
      </c>
      <c r="K98">
        <v>0</v>
      </c>
      <c r="L98">
        <v>0</v>
      </c>
    </row>
    <row r="99" spans="1:12" x14ac:dyDescent="0.2">
      <c r="A99" t="s">
        <v>147</v>
      </c>
      <c r="B99" t="s">
        <v>96</v>
      </c>
      <c r="C99">
        <v>140</v>
      </c>
      <c r="D99">
        <v>145</v>
      </c>
      <c r="E99" s="1">
        <v>0.29099999999999998</v>
      </c>
      <c r="F99">
        <v>33</v>
      </c>
      <c r="G99" s="2">
        <v>37000000</v>
      </c>
      <c r="H99" s="7">
        <f t="shared" si="1"/>
        <v>3</v>
      </c>
      <c r="I99" t="s">
        <v>186</v>
      </c>
      <c r="J99">
        <v>6.2</v>
      </c>
      <c r="K99">
        <v>0</v>
      </c>
      <c r="L99">
        <v>1</v>
      </c>
    </row>
    <row r="100" spans="1:12" x14ac:dyDescent="0.2">
      <c r="A100" t="s">
        <v>179</v>
      </c>
      <c r="B100" t="s">
        <v>29</v>
      </c>
      <c r="C100">
        <v>140</v>
      </c>
      <c r="D100">
        <v>136</v>
      </c>
      <c r="E100" s="1">
        <v>0.26</v>
      </c>
      <c r="F100">
        <v>19</v>
      </c>
      <c r="G100" s="2">
        <v>760000</v>
      </c>
      <c r="H100" s="7">
        <f t="shared" si="1"/>
        <v>98</v>
      </c>
      <c r="I100" t="s">
        <v>186</v>
      </c>
      <c r="J100">
        <v>2</v>
      </c>
      <c r="K100">
        <v>0</v>
      </c>
      <c r="L100">
        <v>0</v>
      </c>
    </row>
    <row r="101" spans="1:12" x14ac:dyDescent="0.2">
      <c r="A101" t="s">
        <v>145</v>
      </c>
      <c r="B101" t="s">
        <v>28</v>
      </c>
      <c r="C101">
        <v>156</v>
      </c>
      <c r="D101">
        <v>177</v>
      </c>
      <c r="E101" s="1">
        <v>0.29199999999999998</v>
      </c>
      <c r="F101">
        <v>35</v>
      </c>
      <c r="G101" s="2">
        <v>30000000</v>
      </c>
      <c r="H101" s="7">
        <f t="shared" si="1"/>
        <v>10</v>
      </c>
      <c r="I101" t="s">
        <v>186</v>
      </c>
      <c r="J101">
        <v>8</v>
      </c>
      <c r="K101">
        <v>0</v>
      </c>
      <c r="L101">
        <v>0</v>
      </c>
    </row>
    <row r="102" spans="1:12" x14ac:dyDescent="0.2">
      <c r="A102" t="s">
        <v>54</v>
      </c>
      <c r="B102" t="s">
        <v>34</v>
      </c>
      <c r="C102">
        <v>147</v>
      </c>
      <c r="D102">
        <v>142</v>
      </c>
      <c r="E102" s="1">
        <v>0.26800000000000002</v>
      </c>
      <c r="F102">
        <v>20</v>
      </c>
      <c r="G102" s="2">
        <v>760000</v>
      </c>
      <c r="H102" s="7">
        <f t="shared" si="1"/>
        <v>98</v>
      </c>
      <c r="I102" t="s">
        <v>76</v>
      </c>
      <c r="J102">
        <v>2.2999999999999998</v>
      </c>
      <c r="K102">
        <v>0</v>
      </c>
      <c r="L102">
        <v>0</v>
      </c>
    </row>
    <row r="103" spans="1:12" x14ac:dyDescent="0.2">
      <c r="A103" t="s">
        <v>128</v>
      </c>
      <c r="B103" t="s">
        <v>89</v>
      </c>
      <c r="C103">
        <v>120</v>
      </c>
      <c r="D103">
        <v>110</v>
      </c>
      <c r="E103" s="1">
        <v>0.251</v>
      </c>
      <c r="F103">
        <v>21</v>
      </c>
      <c r="G103" s="2">
        <v>2000000</v>
      </c>
      <c r="H103" s="7">
        <f t="shared" si="1"/>
        <v>95</v>
      </c>
      <c r="I103" t="s">
        <v>141</v>
      </c>
      <c r="J103">
        <v>0.5</v>
      </c>
      <c r="K103">
        <v>0</v>
      </c>
      <c r="L103">
        <v>0</v>
      </c>
    </row>
    <row r="104" spans="1:12" x14ac:dyDescent="0.2">
      <c r="A104" t="s">
        <v>159</v>
      </c>
      <c r="B104" t="s">
        <v>27</v>
      </c>
      <c r="C104">
        <v>150</v>
      </c>
      <c r="D104">
        <v>155</v>
      </c>
      <c r="E104" s="1">
        <v>0.26900000000000002</v>
      </c>
      <c r="F104">
        <v>22</v>
      </c>
      <c r="G104" s="2">
        <v>20000000</v>
      </c>
      <c r="H104" s="7">
        <f t="shared" si="1"/>
        <v>26</v>
      </c>
      <c r="I104" t="s">
        <v>186</v>
      </c>
      <c r="J104">
        <v>2.9</v>
      </c>
      <c r="K104">
        <v>0</v>
      </c>
      <c r="L104">
        <v>0</v>
      </c>
    </row>
    <row r="105" spans="1:12" x14ac:dyDescent="0.2">
      <c r="A105" t="s">
        <v>85</v>
      </c>
      <c r="B105" t="s">
        <v>86</v>
      </c>
      <c r="C105">
        <v>148</v>
      </c>
      <c r="D105">
        <v>160</v>
      </c>
      <c r="E105" s="1">
        <v>0.27200000000000002</v>
      </c>
      <c r="F105">
        <v>14</v>
      </c>
      <c r="G105" s="2">
        <v>11125000</v>
      </c>
      <c r="H105" s="7">
        <f t="shared" si="1"/>
        <v>59</v>
      </c>
      <c r="I105" t="s">
        <v>100</v>
      </c>
      <c r="J105">
        <v>3.8</v>
      </c>
      <c r="K105">
        <v>0</v>
      </c>
      <c r="L105">
        <v>0</v>
      </c>
    </row>
    <row r="106" spans="1:12" x14ac:dyDescent="0.2">
      <c r="A106" t="s">
        <v>108</v>
      </c>
      <c r="B106" t="s">
        <v>40</v>
      </c>
      <c r="C106">
        <v>136</v>
      </c>
      <c r="D106">
        <v>128</v>
      </c>
      <c r="E106" s="1">
        <v>0.25700000000000001</v>
      </c>
      <c r="F106">
        <v>25</v>
      </c>
      <c r="G106" s="2">
        <v>760000</v>
      </c>
      <c r="H106" s="7">
        <f t="shared" si="1"/>
        <v>98</v>
      </c>
      <c r="I106" t="s">
        <v>121</v>
      </c>
      <c r="J106">
        <v>3.2</v>
      </c>
      <c r="K106">
        <v>0</v>
      </c>
      <c r="L106">
        <v>0</v>
      </c>
    </row>
    <row r="107" spans="1:12" x14ac:dyDescent="0.2">
      <c r="A107" t="s">
        <v>183</v>
      </c>
      <c r="B107" t="s">
        <v>38</v>
      </c>
      <c r="C107">
        <v>125</v>
      </c>
      <c r="D107">
        <v>120</v>
      </c>
      <c r="E107" s="1">
        <v>0.25600000000000001</v>
      </c>
      <c r="F107">
        <v>13</v>
      </c>
      <c r="G107" s="2">
        <v>760000</v>
      </c>
      <c r="H107" s="7">
        <f t="shared" si="1"/>
        <v>98</v>
      </c>
      <c r="I107" t="s">
        <v>186</v>
      </c>
      <c r="J107">
        <v>1.3</v>
      </c>
      <c r="K107">
        <v>0</v>
      </c>
      <c r="L107">
        <v>0</v>
      </c>
    </row>
    <row r="108" spans="1:12" x14ac:dyDescent="0.2">
      <c r="A108" t="s">
        <v>79</v>
      </c>
      <c r="B108" t="s">
        <v>41</v>
      </c>
      <c r="C108">
        <v>150</v>
      </c>
      <c r="D108">
        <v>162</v>
      </c>
      <c r="E108" s="1">
        <v>0.28399999999999997</v>
      </c>
      <c r="F108">
        <v>27</v>
      </c>
      <c r="G108" s="2">
        <v>7000000</v>
      </c>
      <c r="H108" s="7">
        <f t="shared" si="1"/>
        <v>77</v>
      </c>
      <c r="I108" t="s">
        <v>100</v>
      </c>
      <c r="J108">
        <v>4.0999999999999996</v>
      </c>
      <c r="K108">
        <v>0</v>
      </c>
      <c r="L108">
        <v>0</v>
      </c>
    </row>
    <row r="109" spans="1:12" x14ac:dyDescent="0.2">
      <c r="A109" t="s">
        <v>26</v>
      </c>
      <c r="B109" t="s">
        <v>46</v>
      </c>
      <c r="C109">
        <v>134</v>
      </c>
      <c r="D109">
        <v>90</v>
      </c>
      <c r="E109" s="1">
        <v>0.222</v>
      </c>
      <c r="F109">
        <v>6</v>
      </c>
      <c r="G109" s="2">
        <v>760000</v>
      </c>
      <c r="H109" s="7">
        <f t="shared" si="1"/>
        <v>98</v>
      </c>
      <c r="I109" t="s">
        <v>47</v>
      </c>
      <c r="J109">
        <v>1.7</v>
      </c>
      <c r="K109">
        <v>0</v>
      </c>
      <c r="L109">
        <v>1</v>
      </c>
    </row>
    <row r="110" spans="1:12" x14ac:dyDescent="0.2">
      <c r="A110" t="s">
        <v>119</v>
      </c>
      <c r="B110" t="s">
        <v>120</v>
      </c>
      <c r="C110">
        <v>122</v>
      </c>
      <c r="D110">
        <v>108</v>
      </c>
      <c r="E110" s="1">
        <v>0.23699999999999999</v>
      </c>
      <c r="F110">
        <v>16</v>
      </c>
      <c r="G110" s="2">
        <v>4000000</v>
      </c>
      <c r="H110" s="7">
        <f t="shared" si="1"/>
        <v>93</v>
      </c>
      <c r="I110" t="s">
        <v>121</v>
      </c>
      <c r="J110">
        <v>1</v>
      </c>
      <c r="K110">
        <v>0</v>
      </c>
      <c r="L110">
        <v>0</v>
      </c>
    </row>
    <row r="111" spans="1:12" x14ac:dyDescent="0.2">
      <c r="A111" t="s">
        <v>51</v>
      </c>
      <c r="B111" t="s">
        <v>52</v>
      </c>
      <c r="C111">
        <v>152</v>
      </c>
      <c r="D111">
        <v>162</v>
      </c>
      <c r="E111" s="1">
        <v>0.26700000000000002</v>
      </c>
      <c r="F111">
        <v>23</v>
      </c>
      <c r="G111" s="2">
        <v>26000000</v>
      </c>
      <c r="H111" s="7">
        <f t="shared" si="1"/>
        <v>15</v>
      </c>
      <c r="I111" t="s">
        <v>76</v>
      </c>
      <c r="J111">
        <v>3.1</v>
      </c>
      <c r="K111">
        <v>0</v>
      </c>
      <c r="L111">
        <v>0</v>
      </c>
    </row>
    <row r="112" spans="1:12" x14ac:dyDescent="0.2">
      <c r="A112" t="s">
        <v>50</v>
      </c>
      <c r="B112" t="s">
        <v>43</v>
      </c>
      <c r="C112">
        <v>150</v>
      </c>
      <c r="D112">
        <v>148</v>
      </c>
      <c r="E112" s="1">
        <v>0.26</v>
      </c>
      <c r="F112">
        <v>41</v>
      </c>
      <c r="G112" s="2">
        <v>20000000</v>
      </c>
      <c r="H112" s="7">
        <f t="shared" si="1"/>
        <v>26</v>
      </c>
      <c r="I112" t="s">
        <v>76</v>
      </c>
      <c r="J112">
        <v>4</v>
      </c>
      <c r="K112">
        <v>0</v>
      </c>
      <c r="L112">
        <v>0</v>
      </c>
    </row>
    <row r="113" spans="1:12" x14ac:dyDescent="0.2">
      <c r="A113" t="s">
        <v>154</v>
      </c>
      <c r="B113" t="s">
        <v>83</v>
      </c>
      <c r="C113">
        <v>147</v>
      </c>
      <c r="D113">
        <v>150</v>
      </c>
      <c r="E113" s="1">
        <v>0.26400000000000001</v>
      </c>
      <c r="F113">
        <v>25</v>
      </c>
      <c r="G113" s="2">
        <v>4800000</v>
      </c>
      <c r="H113" s="7">
        <f t="shared" si="1"/>
        <v>87</v>
      </c>
      <c r="I113" t="s">
        <v>186</v>
      </c>
      <c r="J113">
        <v>3.5</v>
      </c>
      <c r="K113">
        <v>0</v>
      </c>
      <c r="L113">
        <v>0</v>
      </c>
    </row>
    <row r="114" spans="1:12" x14ac:dyDescent="0.2">
      <c r="A114" t="s">
        <v>58</v>
      </c>
      <c r="B114" t="s">
        <v>32</v>
      </c>
      <c r="C114">
        <v>142</v>
      </c>
      <c r="D114">
        <v>128</v>
      </c>
      <c r="E114" s="1">
        <v>0.248</v>
      </c>
      <c r="F114">
        <v>27</v>
      </c>
      <c r="G114" s="2">
        <v>12000000</v>
      </c>
      <c r="H114" s="7">
        <f t="shared" si="1"/>
        <v>50</v>
      </c>
      <c r="I114" t="s">
        <v>76</v>
      </c>
      <c r="J114">
        <v>2.7</v>
      </c>
      <c r="K114">
        <v>0</v>
      </c>
      <c r="L114">
        <v>0</v>
      </c>
    </row>
    <row r="115" spans="1:12" x14ac:dyDescent="0.2">
      <c r="A115" t="s">
        <v>144</v>
      </c>
      <c r="B115" t="s">
        <v>41</v>
      </c>
      <c r="C115">
        <v>154</v>
      </c>
      <c r="D115">
        <v>184</v>
      </c>
      <c r="E115" s="1">
        <v>0.32400000000000001</v>
      </c>
      <c r="F115">
        <v>38</v>
      </c>
      <c r="G115" s="2">
        <v>17000000</v>
      </c>
      <c r="H115" s="7">
        <f t="shared" si="1"/>
        <v>36</v>
      </c>
      <c r="I115" t="s">
        <v>186</v>
      </c>
      <c r="J115">
        <v>8.5</v>
      </c>
      <c r="K115">
        <v>0</v>
      </c>
      <c r="L115">
        <v>0</v>
      </c>
    </row>
    <row r="116" spans="1:12" x14ac:dyDescent="0.2">
      <c r="A116" t="s">
        <v>61</v>
      </c>
      <c r="B116" t="s">
        <v>40</v>
      </c>
      <c r="C116">
        <v>130</v>
      </c>
      <c r="D116">
        <v>115</v>
      </c>
      <c r="E116" s="1">
        <v>0.24299999999999999</v>
      </c>
      <c r="F116">
        <v>20</v>
      </c>
      <c r="G116" s="2">
        <v>760000</v>
      </c>
      <c r="H116" s="7">
        <f t="shared" si="1"/>
        <v>98</v>
      </c>
      <c r="I116" t="s">
        <v>76</v>
      </c>
      <c r="J116">
        <v>1.6</v>
      </c>
      <c r="K116">
        <v>0</v>
      </c>
      <c r="L116">
        <v>0</v>
      </c>
    </row>
    <row r="117" spans="1:12" x14ac:dyDescent="0.2">
      <c r="A117" t="s">
        <v>9</v>
      </c>
      <c r="B117" t="s">
        <v>29</v>
      </c>
      <c r="C117">
        <v>152</v>
      </c>
      <c r="D117">
        <v>130</v>
      </c>
      <c r="E117" s="1">
        <v>0.23599999999999999</v>
      </c>
      <c r="F117">
        <v>30</v>
      </c>
      <c r="G117" s="2">
        <v>20500000</v>
      </c>
      <c r="H117" s="7">
        <f t="shared" si="1"/>
        <v>25</v>
      </c>
      <c r="I117" t="s">
        <v>47</v>
      </c>
      <c r="J117">
        <v>2.1</v>
      </c>
      <c r="K117">
        <v>0</v>
      </c>
      <c r="L117">
        <v>0</v>
      </c>
    </row>
    <row r="118" spans="1:12" x14ac:dyDescent="0.2">
      <c r="A118" t="s">
        <v>21</v>
      </c>
      <c r="B118" t="s">
        <v>41</v>
      </c>
      <c r="C118">
        <v>120</v>
      </c>
      <c r="D118">
        <v>104</v>
      </c>
      <c r="E118" s="1">
        <v>0.26900000000000002</v>
      </c>
      <c r="F118">
        <v>20</v>
      </c>
      <c r="G118" s="2">
        <v>4040000</v>
      </c>
      <c r="H118" s="7">
        <f t="shared" si="1"/>
        <v>92</v>
      </c>
      <c r="I118" t="s">
        <v>47</v>
      </c>
      <c r="J118">
        <v>3.7</v>
      </c>
      <c r="K118">
        <v>0</v>
      </c>
      <c r="L118">
        <v>0</v>
      </c>
    </row>
    <row r="119" spans="1:12" x14ac:dyDescent="0.2">
      <c r="A119" t="s">
        <v>152</v>
      </c>
      <c r="B119" t="s">
        <v>86</v>
      </c>
      <c r="C119">
        <v>145</v>
      </c>
      <c r="D119">
        <v>155</v>
      </c>
      <c r="E119" s="1">
        <v>0.28499999999999998</v>
      </c>
      <c r="F119">
        <v>27</v>
      </c>
      <c r="G119" s="2">
        <v>17000000</v>
      </c>
      <c r="H119" s="7">
        <f t="shared" si="1"/>
        <v>36</v>
      </c>
      <c r="I119" t="s">
        <v>186</v>
      </c>
      <c r="J119">
        <v>3.9</v>
      </c>
      <c r="K119">
        <v>0</v>
      </c>
      <c r="L119">
        <v>0</v>
      </c>
    </row>
    <row r="120" spans="1:12" x14ac:dyDescent="0.2">
      <c r="A120" t="s">
        <v>19</v>
      </c>
      <c r="B120" t="s">
        <v>39</v>
      </c>
      <c r="C120">
        <v>144</v>
      </c>
      <c r="D120">
        <v>133</v>
      </c>
      <c r="E120" s="1">
        <v>0.27700000000000002</v>
      </c>
      <c r="F120">
        <v>31</v>
      </c>
      <c r="G120" s="2">
        <v>760000</v>
      </c>
      <c r="H120" s="7">
        <f t="shared" si="1"/>
        <v>98</v>
      </c>
      <c r="I120" t="s">
        <v>47</v>
      </c>
      <c r="J120">
        <v>3.3</v>
      </c>
      <c r="K120">
        <v>0</v>
      </c>
      <c r="L120">
        <v>1</v>
      </c>
    </row>
    <row r="121" spans="1:12" x14ac:dyDescent="0.2">
      <c r="A121" t="s">
        <v>122</v>
      </c>
      <c r="B121" t="s">
        <v>28</v>
      </c>
      <c r="C121">
        <v>155</v>
      </c>
      <c r="D121">
        <v>180</v>
      </c>
      <c r="E121" s="1">
        <v>0.30299999999999999</v>
      </c>
      <c r="F121">
        <v>44</v>
      </c>
      <c r="G121" s="2">
        <v>70000000</v>
      </c>
      <c r="H121" s="7">
        <f t="shared" si="1"/>
        <v>1</v>
      </c>
      <c r="I121" t="s">
        <v>141</v>
      </c>
      <c r="J121">
        <v>9.5</v>
      </c>
      <c r="K121">
        <v>0</v>
      </c>
      <c r="L121">
        <v>0</v>
      </c>
    </row>
    <row r="122" spans="1:12" x14ac:dyDescent="0.2">
      <c r="A122" t="s">
        <v>56</v>
      </c>
      <c r="B122" t="s">
        <v>57</v>
      </c>
      <c r="C122">
        <v>149</v>
      </c>
      <c r="D122">
        <v>138</v>
      </c>
      <c r="E122" s="1">
        <v>0.246</v>
      </c>
      <c r="F122">
        <v>29</v>
      </c>
      <c r="G122" s="2">
        <v>760000</v>
      </c>
      <c r="H122" s="7">
        <f t="shared" si="1"/>
        <v>98</v>
      </c>
      <c r="I122" t="s">
        <v>76</v>
      </c>
      <c r="J122">
        <v>2.5</v>
      </c>
      <c r="K122">
        <v>0</v>
      </c>
      <c r="L122">
        <v>1</v>
      </c>
    </row>
    <row r="123" spans="1:12" x14ac:dyDescent="0.2">
      <c r="A123" t="s">
        <v>160</v>
      </c>
      <c r="B123" t="s">
        <v>43</v>
      </c>
      <c r="C123">
        <v>135</v>
      </c>
      <c r="D123">
        <v>132</v>
      </c>
      <c r="E123" s="1">
        <v>0.26500000000000001</v>
      </c>
      <c r="F123">
        <v>14</v>
      </c>
      <c r="G123" s="2">
        <v>19500000</v>
      </c>
      <c r="H123" s="7">
        <f t="shared" si="1"/>
        <v>31</v>
      </c>
      <c r="I123" t="s">
        <v>186</v>
      </c>
      <c r="J123">
        <v>1.6</v>
      </c>
      <c r="K123">
        <v>0</v>
      </c>
      <c r="L123">
        <v>0</v>
      </c>
    </row>
    <row r="124" spans="1:12" x14ac:dyDescent="0.2">
      <c r="A124" t="s">
        <v>178</v>
      </c>
      <c r="B124" t="s">
        <v>38</v>
      </c>
      <c r="C124">
        <v>153</v>
      </c>
      <c r="D124">
        <v>182</v>
      </c>
      <c r="E124" s="1">
        <v>0.30399999999999999</v>
      </c>
      <c r="F124">
        <v>11</v>
      </c>
      <c r="G124" s="2">
        <v>760000</v>
      </c>
      <c r="H124" s="7">
        <f t="shared" si="1"/>
        <v>98</v>
      </c>
      <c r="I124" t="s">
        <v>186</v>
      </c>
      <c r="J124">
        <v>4.4000000000000004</v>
      </c>
      <c r="K124">
        <v>0</v>
      </c>
      <c r="L124">
        <v>0</v>
      </c>
    </row>
    <row r="125" spans="1:12" x14ac:dyDescent="0.2">
      <c r="A125" t="s">
        <v>173</v>
      </c>
      <c r="B125" t="s">
        <v>96</v>
      </c>
      <c r="C125">
        <v>145</v>
      </c>
      <c r="D125">
        <v>142</v>
      </c>
      <c r="E125" s="1">
        <v>0.26400000000000001</v>
      </c>
      <c r="F125">
        <v>20</v>
      </c>
      <c r="G125" s="2">
        <v>4700000</v>
      </c>
      <c r="H125" s="7">
        <f t="shared" si="1"/>
        <v>90</v>
      </c>
      <c r="I125" t="s">
        <v>186</v>
      </c>
      <c r="J125">
        <v>2.5</v>
      </c>
      <c r="K125">
        <v>0</v>
      </c>
      <c r="L125">
        <v>0</v>
      </c>
    </row>
    <row r="126" spans="1:12" x14ac:dyDescent="0.2">
      <c r="A126" t="s">
        <v>162</v>
      </c>
      <c r="B126" t="s">
        <v>28</v>
      </c>
      <c r="C126">
        <v>146</v>
      </c>
      <c r="D126">
        <v>148</v>
      </c>
      <c r="E126" s="1">
        <v>0.26400000000000001</v>
      </c>
      <c r="F126">
        <v>28</v>
      </c>
      <c r="G126" s="2">
        <v>14000000</v>
      </c>
      <c r="H126" s="7">
        <f t="shared" si="1"/>
        <v>44</v>
      </c>
      <c r="I126" t="s">
        <v>186</v>
      </c>
      <c r="J126">
        <v>3.5</v>
      </c>
      <c r="K126">
        <v>0</v>
      </c>
      <c r="L126">
        <v>0</v>
      </c>
    </row>
    <row r="127" spans="1:12" x14ac:dyDescent="0.2">
      <c r="A127" t="s">
        <v>114</v>
      </c>
      <c r="B127" t="s">
        <v>60</v>
      </c>
      <c r="C127">
        <v>134</v>
      </c>
      <c r="D127">
        <v>138</v>
      </c>
      <c r="E127" s="1">
        <v>0.27100000000000002</v>
      </c>
      <c r="F127">
        <v>9</v>
      </c>
      <c r="G127" s="2">
        <v>12000000</v>
      </c>
      <c r="H127" s="7">
        <f t="shared" si="1"/>
        <v>50</v>
      </c>
      <c r="I127" t="s">
        <v>121</v>
      </c>
      <c r="J127">
        <v>1.2</v>
      </c>
      <c r="K127">
        <v>0</v>
      </c>
      <c r="L127">
        <v>0</v>
      </c>
    </row>
    <row r="128" spans="1:12" x14ac:dyDescent="0.2">
      <c r="A128" t="s">
        <v>104</v>
      </c>
      <c r="B128" t="s">
        <v>27</v>
      </c>
      <c r="C128">
        <v>152</v>
      </c>
      <c r="D128">
        <v>178</v>
      </c>
      <c r="E128" s="1">
        <v>0.29299999999999998</v>
      </c>
      <c r="F128">
        <v>27</v>
      </c>
      <c r="G128" s="2">
        <v>30000000</v>
      </c>
      <c r="H128" s="7">
        <f t="shared" si="1"/>
        <v>10</v>
      </c>
      <c r="I128" t="s">
        <v>121</v>
      </c>
      <c r="J128">
        <v>5</v>
      </c>
      <c r="K128">
        <v>0</v>
      </c>
      <c r="L128">
        <v>1</v>
      </c>
    </row>
    <row r="129" spans="1:12" x14ac:dyDescent="0.2">
      <c r="A129" t="s">
        <v>176</v>
      </c>
      <c r="B129" t="s">
        <v>89</v>
      </c>
      <c r="C129">
        <v>138</v>
      </c>
      <c r="D129">
        <v>130</v>
      </c>
      <c r="E129" s="1">
        <v>0.255</v>
      </c>
      <c r="F129">
        <v>15</v>
      </c>
      <c r="G129" s="2">
        <v>4800000</v>
      </c>
      <c r="H129" s="7">
        <f t="shared" si="1"/>
        <v>87</v>
      </c>
      <c r="I129" t="s">
        <v>186</v>
      </c>
      <c r="J129">
        <v>1.6</v>
      </c>
      <c r="K129">
        <v>0</v>
      </c>
      <c r="L129">
        <v>0</v>
      </c>
    </row>
    <row r="130" spans="1:12" x14ac:dyDescent="0.2">
      <c r="A130" t="s">
        <v>116</v>
      </c>
      <c r="B130" t="s">
        <v>63</v>
      </c>
      <c r="C130">
        <v>120</v>
      </c>
      <c r="D130">
        <v>118</v>
      </c>
      <c r="E130" s="1">
        <v>0.246</v>
      </c>
      <c r="F130">
        <v>13</v>
      </c>
      <c r="G130" s="2">
        <v>23000000</v>
      </c>
      <c r="H130" s="7">
        <f t="shared" si="1"/>
        <v>23</v>
      </c>
      <c r="I130" t="s">
        <v>121</v>
      </c>
      <c r="J130">
        <v>2</v>
      </c>
      <c r="K130">
        <v>0</v>
      </c>
      <c r="L130">
        <v>0</v>
      </c>
    </row>
    <row r="131" spans="1:12" x14ac:dyDescent="0.2">
      <c r="A131" t="s">
        <v>62</v>
      </c>
      <c r="B131" t="s">
        <v>63</v>
      </c>
      <c r="C131">
        <v>136</v>
      </c>
      <c r="D131">
        <v>129</v>
      </c>
      <c r="E131" s="1">
        <v>0.26100000000000001</v>
      </c>
      <c r="F131">
        <v>25</v>
      </c>
      <c r="G131" s="2">
        <v>760000</v>
      </c>
      <c r="H131" s="7">
        <f t="shared" ref="H131:H141" si="2">_xlfn.RANK.EQ(G131,$G$2:$G$141,0)</f>
        <v>98</v>
      </c>
      <c r="I131" t="s">
        <v>76</v>
      </c>
      <c r="J131">
        <v>2.8</v>
      </c>
      <c r="K131">
        <v>0</v>
      </c>
      <c r="L131">
        <v>1</v>
      </c>
    </row>
    <row r="132" spans="1:12" x14ac:dyDescent="0.2">
      <c r="A132" t="s">
        <v>71</v>
      </c>
      <c r="B132" t="s">
        <v>30</v>
      </c>
      <c r="C132">
        <v>142</v>
      </c>
      <c r="D132">
        <v>136</v>
      </c>
      <c r="E132" s="1">
        <v>0.26200000000000001</v>
      </c>
      <c r="F132">
        <v>16</v>
      </c>
      <c r="G132" s="2">
        <v>760000</v>
      </c>
      <c r="H132" s="7">
        <f t="shared" si="2"/>
        <v>98</v>
      </c>
      <c r="I132" t="s">
        <v>76</v>
      </c>
      <c r="J132">
        <v>1.9</v>
      </c>
      <c r="K132">
        <v>0</v>
      </c>
      <c r="L132">
        <v>0</v>
      </c>
    </row>
    <row r="133" spans="1:12" x14ac:dyDescent="0.2">
      <c r="A133" t="s">
        <v>22</v>
      </c>
      <c r="B133" t="s">
        <v>42</v>
      </c>
      <c r="C133">
        <v>142</v>
      </c>
      <c r="D133">
        <v>132</v>
      </c>
      <c r="E133" s="1">
        <v>0.26400000000000001</v>
      </c>
      <c r="F133">
        <v>12</v>
      </c>
      <c r="G133" s="2">
        <v>760000</v>
      </c>
      <c r="H133" s="7">
        <f t="shared" si="2"/>
        <v>98</v>
      </c>
      <c r="I133" t="s">
        <v>47</v>
      </c>
      <c r="J133">
        <v>1.9</v>
      </c>
      <c r="K133">
        <v>0</v>
      </c>
      <c r="L133">
        <v>1</v>
      </c>
    </row>
    <row r="134" spans="1:12" x14ac:dyDescent="0.2">
      <c r="A134" t="s">
        <v>49</v>
      </c>
      <c r="B134" t="s">
        <v>37</v>
      </c>
      <c r="C134">
        <v>153</v>
      </c>
      <c r="D134">
        <v>165</v>
      </c>
      <c r="E134" s="1">
        <v>0.28100000000000003</v>
      </c>
      <c r="F134">
        <v>33</v>
      </c>
      <c r="G134" s="2">
        <v>19250000</v>
      </c>
      <c r="H134" s="7">
        <f t="shared" si="2"/>
        <v>33</v>
      </c>
      <c r="I134" t="s">
        <v>76</v>
      </c>
      <c r="J134">
        <v>3.8</v>
      </c>
      <c r="K134">
        <v>1</v>
      </c>
      <c r="L134">
        <v>0</v>
      </c>
    </row>
    <row r="135" spans="1:12" x14ac:dyDescent="0.2">
      <c r="A135" t="s">
        <v>92</v>
      </c>
      <c r="B135" t="s">
        <v>27</v>
      </c>
      <c r="C135">
        <v>136</v>
      </c>
      <c r="D135">
        <v>128</v>
      </c>
      <c r="E135" s="1">
        <v>0.252</v>
      </c>
      <c r="F135">
        <v>10</v>
      </c>
      <c r="G135" s="2">
        <v>8000000</v>
      </c>
      <c r="H135" s="7">
        <f t="shared" si="2"/>
        <v>73</v>
      </c>
      <c r="I135" t="s">
        <v>100</v>
      </c>
      <c r="J135">
        <v>1.8</v>
      </c>
      <c r="K135">
        <v>0</v>
      </c>
      <c r="L135">
        <v>0</v>
      </c>
    </row>
    <row r="136" spans="1:12" x14ac:dyDescent="0.2">
      <c r="A136" t="s">
        <v>8</v>
      </c>
      <c r="B136" t="s">
        <v>28</v>
      </c>
      <c r="C136">
        <v>140</v>
      </c>
      <c r="D136">
        <v>158</v>
      </c>
      <c r="E136" s="1">
        <v>0.29599999999999999</v>
      </c>
      <c r="F136">
        <v>17</v>
      </c>
      <c r="G136" s="2">
        <v>12927716</v>
      </c>
      <c r="H136" s="7">
        <f t="shared" si="2"/>
        <v>48</v>
      </c>
      <c r="I136" t="s">
        <v>47</v>
      </c>
      <c r="J136">
        <v>4.8</v>
      </c>
      <c r="K136">
        <v>0</v>
      </c>
      <c r="L136">
        <v>1</v>
      </c>
    </row>
    <row r="137" spans="1:12" x14ac:dyDescent="0.2">
      <c r="A137" t="s">
        <v>12</v>
      </c>
      <c r="B137" t="s">
        <v>32</v>
      </c>
      <c r="C137">
        <v>151</v>
      </c>
      <c r="D137">
        <v>160</v>
      </c>
      <c r="E137" s="1">
        <v>0.28799999999999998</v>
      </c>
      <c r="F137">
        <v>17</v>
      </c>
      <c r="G137" s="2">
        <v>760000</v>
      </c>
      <c r="H137" s="7">
        <f t="shared" si="2"/>
        <v>98</v>
      </c>
      <c r="I137" t="s">
        <v>47</v>
      </c>
      <c r="J137">
        <v>4.7</v>
      </c>
      <c r="K137">
        <v>0</v>
      </c>
      <c r="L137">
        <v>0</v>
      </c>
    </row>
    <row r="138" spans="1:12" x14ac:dyDescent="0.2">
      <c r="A138" t="s">
        <v>107</v>
      </c>
      <c r="B138" t="s">
        <v>32</v>
      </c>
      <c r="C138">
        <v>152</v>
      </c>
      <c r="D138">
        <v>147</v>
      </c>
      <c r="E138" s="1">
        <v>0.254</v>
      </c>
      <c r="F138">
        <v>24</v>
      </c>
      <c r="G138" s="2">
        <v>8750000</v>
      </c>
      <c r="H138" s="7">
        <f t="shared" si="2"/>
        <v>69</v>
      </c>
      <c r="I138" t="s">
        <v>121</v>
      </c>
      <c r="J138">
        <v>3.8</v>
      </c>
      <c r="K138">
        <v>0</v>
      </c>
      <c r="L138">
        <v>0</v>
      </c>
    </row>
    <row r="139" spans="1:12" x14ac:dyDescent="0.2">
      <c r="A139" t="s">
        <v>109</v>
      </c>
      <c r="B139" t="s">
        <v>89</v>
      </c>
      <c r="C139">
        <v>150</v>
      </c>
      <c r="D139">
        <v>172</v>
      </c>
      <c r="E139" s="1">
        <v>0.28399999999999997</v>
      </c>
      <c r="F139">
        <v>21</v>
      </c>
      <c r="G139" s="2">
        <v>25000000</v>
      </c>
      <c r="H139" s="7">
        <f t="shared" si="2"/>
        <v>17</v>
      </c>
      <c r="I139" t="s">
        <v>121</v>
      </c>
      <c r="J139">
        <v>4.0999999999999996</v>
      </c>
      <c r="K139">
        <v>0</v>
      </c>
      <c r="L139">
        <v>0</v>
      </c>
    </row>
    <row r="140" spans="1:12" x14ac:dyDescent="0.2">
      <c r="A140" t="s">
        <v>16</v>
      </c>
      <c r="B140" t="s">
        <v>36</v>
      </c>
      <c r="C140">
        <v>145</v>
      </c>
      <c r="D140">
        <v>140</v>
      </c>
      <c r="E140" s="1">
        <v>0.25600000000000001</v>
      </c>
      <c r="F140">
        <v>20</v>
      </c>
      <c r="G140" s="2">
        <v>760000</v>
      </c>
      <c r="H140" s="7">
        <f t="shared" si="2"/>
        <v>98</v>
      </c>
      <c r="I140" t="s">
        <v>47</v>
      </c>
      <c r="J140">
        <v>2.9</v>
      </c>
      <c r="K140">
        <v>0</v>
      </c>
      <c r="L140">
        <v>0</v>
      </c>
    </row>
    <row r="141" spans="1:12" x14ac:dyDescent="0.2">
      <c r="A141" t="s">
        <v>124</v>
      </c>
      <c r="B141" t="s">
        <v>36</v>
      </c>
      <c r="C141">
        <v>148</v>
      </c>
      <c r="D141">
        <v>165</v>
      </c>
      <c r="E141" s="1">
        <v>0.28899999999999998</v>
      </c>
      <c r="F141">
        <v>39</v>
      </c>
      <c r="G141" s="2">
        <v>19500000</v>
      </c>
      <c r="H141" s="7">
        <f t="shared" si="2"/>
        <v>31</v>
      </c>
      <c r="I141" t="s">
        <v>186</v>
      </c>
      <c r="J141">
        <v>5.0999999999999996</v>
      </c>
      <c r="K141">
        <v>0</v>
      </c>
      <c r="L141">
        <v>0</v>
      </c>
    </row>
  </sheetData>
  <sortState xmlns:xlrd2="http://schemas.microsoft.com/office/spreadsheetml/2017/richdata2" ref="V2:W8">
    <sortCondition descending="1" ref="W2:W8"/>
  </sortState>
  <mergeCells count="1">
    <mergeCell ref="N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Player data - best team &lt; 2mil</vt:lpstr>
      <vt:lpstr>Player data_latest Sim plex</vt:lpstr>
      <vt:lpstr>Player data_latest GRG</vt:lpstr>
      <vt:lpstr>Team Summary - GRG</vt:lpstr>
      <vt:lpstr>Team Summary - SAL&lt;=2mil</vt:lpstr>
      <vt:lpstr>Team Summary - Simplex</vt:lpstr>
      <vt:lpstr>Ranking salary by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Dover</dc:creator>
  <cp:lastModifiedBy>Sam Leslie</cp:lastModifiedBy>
  <dcterms:created xsi:type="dcterms:W3CDTF">2025-09-29T14:11:53Z</dcterms:created>
  <dcterms:modified xsi:type="dcterms:W3CDTF">2025-11-21T21:30:32Z</dcterms:modified>
</cp:coreProperties>
</file>